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S:\가계부채DB반\1. 지역별 여수신\7.지역금융기관 점포수\2024점포수\"/>
    </mc:Choice>
  </mc:AlternateContent>
  <xr:revisionPtr revIDLastSave="0" documentId="13_ncr:1_{7B209B3D-B200-4DA3-8E00-D8F9ECF8E2F7}" xr6:coauthVersionLast="36" xr6:coauthVersionMax="36" xr10:uidLastSave="{00000000-0000-0000-0000-000000000000}"/>
  <bookViews>
    <workbookView xWindow="0" yWindow="0" windowWidth="29486" windowHeight="9497" xr2:uid="{00000000-000D-0000-FFFF-FFFF00000000}"/>
  </bookViews>
  <sheets>
    <sheet name="1. 예금은행" sheetId="23" r:id="rId1"/>
    <sheet name="2. 비은행예취" sheetId="25" r:id="rId2"/>
    <sheet name="13.점포(I 2007)" sheetId="19" state="hidden" r:id="rId3"/>
    <sheet name="13.점포(II 2007)" sheetId="20" state="hidden" r:id="rId4"/>
    <sheet name="13.점포(I 2006)" sheetId="17" state="hidden" r:id="rId5"/>
    <sheet name="13.점포(II 2006)" sheetId="18" state="hidden" r:id="rId6"/>
    <sheet name="13.점포(I 2005)" sheetId="12" state="hidden" r:id="rId7"/>
    <sheet name="13.점포(II 2005)" sheetId="11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0" hidden="1">'1. 예금은행'!$A$5:$T$29</definedName>
    <definedName name="_xlnm._FilterDatabase" localSheetId="1" hidden="1">'2. 비은행예취'!$A$5:$T$5</definedName>
    <definedName name="_xlnm.Print_Area" localSheetId="0">'1. 예금은행'!$A$1:$T$42</definedName>
    <definedName name="_xlnm.Print_Area" localSheetId="6">'13.점포(I 2005)'!$A$1:$S$95</definedName>
    <definedName name="_xlnm.Print_Area" localSheetId="4">'13.점포(I 2006)'!$A$1:$S$100</definedName>
    <definedName name="_xlnm.Print_Area" localSheetId="2">'13.점포(I 2007)'!$A$1:$S$106</definedName>
    <definedName name="_xlnm.Print_Area" localSheetId="7">'13.점포(II 2005)'!$A$1:$S$76</definedName>
    <definedName name="_xlnm.Print_Area" localSheetId="5">'13.점포(II 2006)'!$A$1:$S$81</definedName>
    <definedName name="_xlnm.Print_Area" localSheetId="3">'13.점포(II 2007)'!$A$1:$S$86</definedName>
    <definedName name="_xlnm.Print_Area" localSheetId="1">'2. 비은행예취'!$A$1:$T$137</definedName>
    <definedName name="_xlnm.Print_Titles" localSheetId="1">'2. 비은행예취'!$5:$5</definedName>
  </definedNames>
  <calcPr calcId="191029"/>
</workbook>
</file>

<file path=xl/calcChain.xml><?xml version="1.0" encoding="utf-8"?>
<calcChain xmlns="http://schemas.openxmlformats.org/spreadsheetml/2006/main">
  <c r="C121" i="25" l="1"/>
  <c r="C122" i="25"/>
  <c r="C128" i="25" l="1"/>
  <c r="C131" i="25"/>
  <c r="C130" i="25"/>
  <c r="C129" i="25"/>
  <c r="C127" i="25"/>
  <c r="C126" i="25"/>
  <c r="C125" i="25"/>
  <c r="C124" i="25"/>
  <c r="C123" i="25"/>
  <c r="C120" i="25"/>
  <c r="C119" i="25"/>
  <c r="C118" i="25"/>
  <c r="C103" i="25" l="1"/>
  <c r="C61" i="25" l="1"/>
  <c r="C47" i="25" l="1"/>
  <c r="C33" i="25" l="1"/>
  <c r="C19" i="25" l="1"/>
  <c r="C117" i="25" l="1"/>
  <c r="C89" i="25"/>
  <c r="C75" i="25"/>
  <c r="C33" i="23"/>
  <c r="C19" i="23"/>
  <c r="C17" i="23"/>
  <c r="C18" i="23"/>
  <c r="C44" i="25" l="1"/>
  <c r="C18" i="25" l="1"/>
  <c r="C116" i="25" l="1"/>
  <c r="C102" i="25"/>
  <c r="C88" i="25"/>
  <c r="C74" i="25" l="1"/>
  <c r="C60" i="25"/>
  <c r="C46" i="25" l="1"/>
  <c r="C32" i="25" l="1"/>
  <c r="C32" i="23" l="1"/>
  <c r="C115" i="25" l="1"/>
  <c r="C101" i="25"/>
  <c r="C87" i="25"/>
  <c r="C73" i="25"/>
  <c r="C59" i="25" l="1"/>
  <c r="C45" i="25" l="1"/>
  <c r="C31" i="25" l="1"/>
  <c r="C17" i="25" l="1"/>
  <c r="C31" i="23" l="1"/>
  <c r="C90" i="25" l="1"/>
  <c r="D12" i="23" l="1"/>
  <c r="D27" i="25" l="1"/>
  <c r="C6" i="23" l="1"/>
  <c r="C20" i="23"/>
  <c r="D28" i="25" l="1"/>
  <c r="D26" i="25"/>
  <c r="D25" i="25"/>
  <c r="D24" i="25"/>
  <c r="D23" i="25"/>
  <c r="D42" i="25" l="1"/>
  <c r="D41" i="25"/>
  <c r="D40" i="25"/>
  <c r="D39" i="25"/>
  <c r="D38" i="25"/>
  <c r="D37" i="25"/>
  <c r="C13" i="23" l="1"/>
  <c r="C113" i="25" l="1"/>
  <c r="C112" i="25"/>
  <c r="C111" i="25"/>
  <c r="C110" i="25"/>
  <c r="C109" i="25"/>
  <c r="C108" i="25"/>
  <c r="C107" i="25"/>
  <c r="C106" i="25"/>
  <c r="C105" i="25"/>
  <c r="C104" i="25"/>
  <c r="C85" i="25"/>
  <c r="C84" i="25"/>
  <c r="C83" i="25"/>
  <c r="C82" i="25"/>
  <c r="C81" i="25"/>
  <c r="C80" i="25"/>
  <c r="C79" i="25"/>
  <c r="C78" i="25"/>
  <c r="C77" i="25"/>
  <c r="C76" i="25"/>
  <c r="C99" i="25"/>
  <c r="C98" i="25"/>
  <c r="C97" i="25"/>
  <c r="C96" i="25"/>
  <c r="C95" i="25"/>
  <c r="C94" i="25"/>
  <c r="C93" i="25"/>
  <c r="C92" i="25"/>
  <c r="C91" i="25"/>
  <c r="C71" i="25"/>
  <c r="C70" i="25"/>
  <c r="C69" i="25"/>
  <c r="C68" i="25"/>
  <c r="C67" i="25"/>
  <c r="C66" i="25"/>
  <c r="C65" i="25"/>
  <c r="C64" i="25"/>
  <c r="C63" i="25"/>
  <c r="C62" i="25"/>
  <c r="C57" i="25"/>
  <c r="C56" i="25"/>
  <c r="C55" i="25"/>
  <c r="C54" i="25"/>
  <c r="C53" i="25"/>
  <c r="C52" i="25"/>
  <c r="C51" i="25"/>
  <c r="C50" i="25"/>
  <c r="C49" i="25"/>
  <c r="C48" i="25"/>
  <c r="C43" i="25"/>
  <c r="C42" i="25"/>
  <c r="C41" i="25"/>
  <c r="C40" i="25"/>
  <c r="C39" i="25"/>
  <c r="C38" i="25"/>
  <c r="C37" i="25"/>
  <c r="C36" i="25"/>
  <c r="C35" i="25"/>
  <c r="C34" i="25"/>
  <c r="C29" i="25"/>
  <c r="C28" i="25"/>
  <c r="C27" i="25"/>
  <c r="C26" i="25"/>
  <c r="C25" i="25"/>
  <c r="C24" i="25"/>
  <c r="C23" i="25"/>
  <c r="C22" i="25"/>
  <c r="C21" i="25"/>
  <c r="C20" i="25"/>
  <c r="C15" i="25"/>
  <c r="C14" i="25"/>
  <c r="C13" i="25"/>
  <c r="C12" i="25"/>
  <c r="C11" i="25"/>
  <c r="C10" i="25"/>
  <c r="C9" i="25"/>
  <c r="C8" i="25"/>
  <c r="C7" i="25"/>
  <c r="C6" i="25"/>
  <c r="C29" i="23" l="1"/>
  <c r="C15" i="23"/>
  <c r="C7" i="23"/>
  <c r="C8" i="23"/>
  <c r="C9" i="23"/>
  <c r="C10" i="23"/>
  <c r="C11" i="23"/>
  <c r="C12" i="23"/>
  <c r="C14" i="23"/>
  <c r="C21" i="23"/>
  <c r="C22" i="23"/>
  <c r="C23" i="23"/>
  <c r="C24" i="23"/>
  <c r="C25" i="23"/>
  <c r="C26" i="23"/>
  <c r="C27" i="23"/>
  <c r="C28" i="23"/>
  <c r="R51" i="20" l="1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M34" i="19"/>
  <c r="L34" i="19"/>
  <c r="K34" i="19"/>
  <c r="J34" i="19"/>
  <c r="R34" i="19"/>
  <c r="Q34" i="19"/>
  <c r="P34" i="19"/>
  <c r="O34" i="19"/>
  <c r="N34" i="19"/>
  <c r="I34" i="19"/>
  <c r="H34" i="19"/>
  <c r="G34" i="19"/>
  <c r="F34" i="19"/>
  <c r="E34" i="19"/>
  <c r="D34" i="19"/>
  <c r="C34" i="19"/>
  <c r="R18" i="19"/>
  <c r="Q18" i="19"/>
  <c r="O18" i="19"/>
  <c r="N18" i="19"/>
  <c r="I18" i="19"/>
  <c r="P18" i="19"/>
  <c r="M18" i="19"/>
  <c r="L18" i="19"/>
  <c r="K18" i="19"/>
  <c r="J18" i="19"/>
  <c r="H18" i="19"/>
  <c r="G18" i="19"/>
  <c r="F18" i="19"/>
  <c r="E18" i="19"/>
  <c r="D18" i="19"/>
  <c r="C18" i="19"/>
  <c r="N105" i="20"/>
  <c r="B81" i="20"/>
  <c r="B81" i="19"/>
  <c r="B82" i="19"/>
  <c r="B83" i="20"/>
  <c r="B67" i="20"/>
  <c r="B89" i="20"/>
  <c r="B35" i="20"/>
  <c r="B19" i="20"/>
  <c r="B98" i="19"/>
  <c r="B66" i="19"/>
  <c r="B82" i="20"/>
  <c r="B66" i="20"/>
  <c r="B50" i="20"/>
  <c r="B34" i="20"/>
  <c r="B18" i="20"/>
  <c r="B97" i="19"/>
  <c r="B65" i="19"/>
  <c r="B33" i="19"/>
  <c r="B17" i="19"/>
  <c r="B5" i="19"/>
  <c r="C5" i="19"/>
  <c r="D5" i="19"/>
  <c r="B6" i="19"/>
  <c r="C6" i="19"/>
  <c r="D6" i="19"/>
  <c r="B7" i="19"/>
  <c r="C7" i="19"/>
  <c r="D7" i="19"/>
  <c r="B8" i="19"/>
  <c r="C8" i="19"/>
  <c r="D8" i="19"/>
  <c r="B9" i="19"/>
  <c r="C9" i="19"/>
  <c r="D9" i="19"/>
  <c r="B10" i="19"/>
  <c r="C10" i="19"/>
  <c r="D10" i="19"/>
  <c r="J10" i="19"/>
  <c r="B11" i="19"/>
  <c r="C11" i="19"/>
  <c r="D11" i="19"/>
  <c r="J11" i="19"/>
  <c r="B12" i="19"/>
  <c r="C12" i="19"/>
  <c r="D12" i="19"/>
  <c r="J12" i="19"/>
  <c r="B14" i="19"/>
  <c r="C14" i="19"/>
  <c r="D14" i="19"/>
  <c r="J14" i="19"/>
  <c r="B15" i="19"/>
  <c r="C15" i="19"/>
  <c r="D15" i="19"/>
  <c r="J15" i="19"/>
  <c r="B16" i="19"/>
  <c r="C16" i="19"/>
  <c r="D16" i="19"/>
  <c r="E16" i="19"/>
  <c r="F16" i="19"/>
  <c r="H16" i="19"/>
  <c r="J16" i="19"/>
  <c r="B28" i="19"/>
  <c r="B59" i="19"/>
  <c r="N59" i="19"/>
  <c r="B60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B44" i="20"/>
  <c r="C44" i="20"/>
  <c r="D44" i="20"/>
  <c r="E44" i="20"/>
  <c r="F44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C77" i="20"/>
  <c r="D77" i="20"/>
  <c r="E77" i="20"/>
  <c r="F77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92" i="20"/>
  <c r="B97" i="20"/>
  <c r="B98" i="20"/>
  <c r="B99" i="20"/>
  <c r="C96" i="20"/>
  <c r="D96" i="20"/>
  <c r="E96" i="20"/>
  <c r="F96" i="20"/>
  <c r="G96" i="20"/>
  <c r="H96" i="20"/>
  <c r="I96" i="20"/>
  <c r="J96" i="20"/>
  <c r="K96" i="20"/>
  <c r="L96" i="20"/>
  <c r="M96" i="20"/>
  <c r="N96" i="20"/>
  <c r="O96" i="20"/>
  <c r="P96" i="20"/>
  <c r="Q96" i="20"/>
  <c r="R96" i="20"/>
  <c r="B101" i="20"/>
  <c r="B102" i="20"/>
  <c r="B103" i="20"/>
  <c r="C100" i="20"/>
  <c r="D100" i="20"/>
  <c r="E100" i="20"/>
  <c r="F100" i="20"/>
  <c r="G100" i="20"/>
  <c r="H100" i="20"/>
  <c r="I100" i="20"/>
  <c r="J100" i="20"/>
  <c r="K100" i="20"/>
  <c r="L100" i="20"/>
  <c r="M100" i="20"/>
  <c r="N100" i="20"/>
  <c r="O100" i="20"/>
  <c r="P100" i="20"/>
  <c r="Q100" i="20"/>
  <c r="R100" i="20"/>
  <c r="B5" i="17"/>
  <c r="C5" i="17"/>
  <c r="D5" i="17"/>
  <c r="B6" i="17"/>
  <c r="C6" i="17"/>
  <c r="D6" i="17"/>
  <c r="B7" i="17"/>
  <c r="C7" i="17"/>
  <c r="D7" i="17"/>
  <c r="B8" i="17"/>
  <c r="C8" i="17"/>
  <c r="D8" i="17"/>
  <c r="B9" i="17"/>
  <c r="C9" i="17"/>
  <c r="D9" i="17"/>
  <c r="B10" i="17"/>
  <c r="C10" i="17"/>
  <c r="D10" i="17"/>
  <c r="J10" i="17"/>
  <c r="B11" i="17"/>
  <c r="C11" i="17"/>
  <c r="D11" i="17"/>
  <c r="J11" i="17"/>
  <c r="B12" i="17"/>
  <c r="C12" i="17"/>
  <c r="D12" i="17"/>
  <c r="J12" i="17"/>
  <c r="B14" i="17"/>
  <c r="D118" i="17" s="1"/>
  <c r="C14" i="17"/>
  <c r="D14" i="17"/>
  <c r="J14" i="17"/>
  <c r="B15" i="17"/>
  <c r="B118" i="17" s="1"/>
  <c r="C15" i="17"/>
  <c r="D15" i="17"/>
  <c r="J15" i="17"/>
  <c r="B16" i="17"/>
  <c r="C16" i="17"/>
  <c r="D16" i="17"/>
  <c r="E16" i="17"/>
  <c r="F16" i="17"/>
  <c r="H16" i="17"/>
  <c r="J16" i="17"/>
  <c r="B17" i="17"/>
  <c r="C17" i="17"/>
  <c r="D17" i="17"/>
  <c r="E17" i="17"/>
  <c r="F17" i="17"/>
  <c r="H17" i="17"/>
  <c r="J17" i="17"/>
  <c r="B27" i="17"/>
  <c r="B56" i="17"/>
  <c r="N56" i="17"/>
  <c r="B57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B111" i="17"/>
  <c r="B119" i="17"/>
  <c r="D119" i="17"/>
  <c r="B42" i="18"/>
  <c r="C42" i="18"/>
  <c r="D42" i="18"/>
  <c r="E42" i="18"/>
  <c r="F42" i="18"/>
  <c r="G42" i="18"/>
  <c r="H42" i="18"/>
  <c r="I42" i="18"/>
  <c r="J42" i="18"/>
  <c r="K42" i="18"/>
  <c r="L42" i="18"/>
  <c r="M42" i="18"/>
  <c r="N42" i="18"/>
  <c r="O42" i="18"/>
  <c r="P42" i="18"/>
  <c r="Q42" i="18"/>
  <c r="R42" i="18"/>
  <c r="C73" i="18"/>
  <c r="D73" i="18"/>
  <c r="E73" i="18"/>
  <c r="F73" i="18"/>
  <c r="G73" i="18"/>
  <c r="H73" i="18"/>
  <c r="I73" i="18"/>
  <c r="J73" i="18"/>
  <c r="K73" i="18"/>
  <c r="L73" i="18"/>
  <c r="M73" i="18"/>
  <c r="N73" i="18"/>
  <c r="O73" i="18"/>
  <c r="P73" i="18"/>
  <c r="Q73" i="18"/>
  <c r="R73" i="18"/>
  <c r="B84" i="18"/>
  <c r="S87" i="18"/>
  <c r="C91" i="18"/>
  <c r="D91" i="18"/>
  <c r="E91" i="18"/>
  <c r="F91" i="18"/>
  <c r="G91" i="18"/>
  <c r="H91" i="18"/>
  <c r="I91" i="18"/>
  <c r="J91" i="18"/>
  <c r="K91" i="18"/>
  <c r="L91" i="18"/>
  <c r="M91" i="18"/>
  <c r="N91" i="18"/>
  <c r="O91" i="18"/>
  <c r="P91" i="18"/>
  <c r="Q91" i="18"/>
  <c r="R91" i="18"/>
  <c r="B92" i="18"/>
  <c r="B93" i="18"/>
  <c r="B94" i="18"/>
  <c r="B91" i="18" s="1"/>
  <c r="C95" i="18"/>
  <c r="D95" i="18"/>
  <c r="E95" i="18"/>
  <c r="F95" i="18"/>
  <c r="G95" i="18"/>
  <c r="H95" i="18"/>
  <c r="I95" i="18"/>
  <c r="J95" i="18"/>
  <c r="K95" i="18"/>
  <c r="L95" i="18"/>
  <c r="M95" i="18"/>
  <c r="N95" i="18"/>
  <c r="O95" i="18"/>
  <c r="P95" i="18"/>
  <c r="Q95" i="18"/>
  <c r="R95" i="18"/>
  <c r="B96" i="18"/>
  <c r="B97" i="18"/>
  <c r="B98" i="18"/>
  <c r="D16" i="12"/>
  <c r="D15" i="12"/>
  <c r="C14" i="12"/>
  <c r="D14" i="12"/>
  <c r="J14" i="12"/>
  <c r="B14" i="12" s="1"/>
  <c r="C6" i="12"/>
  <c r="W6" i="12"/>
  <c r="X6" i="12" s="1"/>
  <c r="C7" i="12"/>
  <c r="W7" i="12" s="1"/>
  <c r="X7" i="12" s="1"/>
  <c r="C8" i="12"/>
  <c r="W8" i="12" s="1"/>
  <c r="X8" i="12" s="1"/>
  <c r="C9" i="12"/>
  <c r="W9" i="12" s="1"/>
  <c r="X9" i="12" s="1"/>
  <c r="C10" i="12"/>
  <c r="W10" i="12" s="1"/>
  <c r="X10" i="12" s="1"/>
  <c r="C11" i="12"/>
  <c r="J11" i="12"/>
  <c r="C12" i="12"/>
  <c r="J12" i="12"/>
  <c r="N12" i="12"/>
  <c r="W13" i="12"/>
  <c r="X13" i="12" s="1"/>
  <c r="C15" i="12"/>
  <c r="J15" i="12"/>
  <c r="T15" i="12" s="1"/>
  <c r="C5" i="12"/>
  <c r="D5" i="12"/>
  <c r="W5" i="12" s="1"/>
  <c r="X5" i="12" s="1"/>
  <c r="J16" i="12"/>
  <c r="C16" i="12"/>
  <c r="B16" i="12"/>
  <c r="B113" i="12" s="1"/>
  <c r="B15" i="12"/>
  <c r="D113" i="12" s="1"/>
  <c r="B12" i="12"/>
  <c r="B11" i="12"/>
  <c r="B10" i="12"/>
  <c r="B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B59" i="12"/>
  <c r="T31" i="12"/>
  <c r="U31" i="12" s="1"/>
  <c r="T17" i="12"/>
  <c r="U17" i="12" s="1"/>
  <c r="T46" i="12"/>
  <c r="U46" i="12" s="1"/>
  <c r="T58" i="12"/>
  <c r="U58" i="12" s="1"/>
  <c r="T57" i="12"/>
  <c r="U57" i="12" s="1"/>
  <c r="T56" i="12"/>
  <c r="B56" i="12"/>
  <c r="T55" i="12"/>
  <c r="U55" i="12" s="1"/>
  <c r="N54" i="12"/>
  <c r="T54" i="12" s="1"/>
  <c r="B54" i="12"/>
  <c r="T53" i="12"/>
  <c r="U53" i="12" s="1"/>
  <c r="T52" i="12"/>
  <c r="U52" i="12" s="1"/>
  <c r="T51" i="12"/>
  <c r="U51" i="12" s="1"/>
  <c r="T50" i="12"/>
  <c r="T87" i="12"/>
  <c r="U87" i="12" s="1"/>
  <c r="T73" i="11"/>
  <c r="U73" i="11"/>
  <c r="T31" i="11"/>
  <c r="U31" i="11" s="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2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B89" i="11"/>
  <c r="B88" i="11"/>
  <c r="B87" i="11"/>
  <c r="B86" i="11" s="1"/>
  <c r="T45" i="11"/>
  <c r="U45" i="11" s="1"/>
  <c r="T58" i="11"/>
  <c r="U58" i="11"/>
  <c r="T59" i="11"/>
  <c r="U59" i="11" s="1"/>
  <c r="B91" i="11"/>
  <c r="B92" i="11"/>
  <c r="B93" i="11"/>
  <c r="T17" i="11"/>
  <c r="U17" i="11" s="1"/>
  <c r="T45" i="12"/>
  <c r="U45" i="12" s="1"/>
  <c r="T73" i="12"/>
  <c r="U73" i="12" s="1"/>
  <c r="B114" i="12"/>
  <c r="D114" i="12"/>
  <c r="B79" i="11"/>
  <c r="T10" i="12"/>
  <c r="U10" i="12" s="1"/>
  <c r="T13" i="12"/>
  <c r="U13" i="12" s="1"/>
  <c r="U18" i="12"/>
  <c r="U19" i="12"/>
  <c r="U20" i="12"/>
  <c r="U21" i="12"/>
  <c r="T22" i="12"/>
  <c r="U22" i="12" s="1"/>
  <c r="T23" i="12"/>
  <c r="U23" i="12" s="1"/>
  <c r="T24" i="12"/>
  <c r="U24" i="12" s="1"/>
  <c r="T25" i="12"/>
  <c r="U25" i="12" s="1"/>
  <c r="T27" i="12"/>
  <c r="U27" i="12" s="1"/>
  <c r="T26" i="12"/>
  <c r="U26" i="12" s="1"/>
  <c r="B28" i="12"/>
  <c r="T28" i="12"/>
  <c r="T29" i="12"/>
  <c r="U29" i="12" s="1"/>
  <c r="T30" i="12"/>
  <c r="U30" i="12" s="1"/>
  <c r="T32" i="12"/>
  <c r="U32" i="12"/>
  <c r="T33" i="12"/>
  <c r="U33" i="12" s="1"/>
  <c r="T34" i="12"/>
  <c r="U34" i="12" s="1"/>
  <c r="T35" i="12"/>
  <c r="U35" i="12" s="1"/>
  <c r="T36" i="12"/>
  <c r="U36" i="12" s="1"/>
  <c r="T37" i="12"/>
  <c r="U37" i="12" s="1"/>
  <c r="T38" i="12"/>
  <c r="U38" i="12" s="1"/>
  <c r="T39" i="12"/>
  <c r="U39" i="12" s="1"/>
  <c r="T41" i="12"/>
  <c r="U41" i="12" s="1"/>
  <c r="T40" i="12"/>
  <c r="U40" i="12" s="1"/>
  <c r="T42" i="12"/>
  <c r="U42" i="12" s="1"/>
  <c r="T43" i="12"/>
  <c r="U43" i="12" s="1"/>
  <c r="T44" i="12"/>
  <c r="U44" i="12" s="1"/>
  <c r="T60" i="12"/>
  <c r="U60" i="12" s="1"/>
  <c r="T61" i="12"/>
  <c r="U61" i="12"/>
  <c r="T62" i="12"/>
  <c r="U62" i="12" s="1"/>
  <c r="T63" i="12"/>
  <c r="U63" i="12"/>
  <c r="T64" i="12"/>
  <c r="U64" i="12" s="1"/>
  <c r="T65" i="12"/>
  <c r="U65" i="12" s="1"/>
  <c r="T66" i="12"/>
  <c r="U66" i="12" s="1"/>
  <c r="T67" i="12"/>
  <c r="U67" i="12" s="1"/>
  <c r="T69" i="12"/>
  <c r="U69" i="12" s="1"/>
  <c r="T68" i="12"/>
  <c r="U68" i="12" s="1"/>
  <c r="T70" i="12"/>
  <c r="U70" i="12" s="1"/>
  <c r="T71" i="12"/>
  <c r="U71" i="12" s="1"/>
  <c r="T72" i="12"/>
  <c r="U72" i="12" s="1"/>
  <c r="T74" i="12"/>
  <c r="U74" i="12" s="1"/>
  <c r="T75" i="12"/>
  <c r="U75" i="12" s="1"/>
  <c r="T76" i="12"/>
  <c r="U76" i="12" s="1"/>
  <c r="T77" i="12"/>
  <c r="U77" i="12" s="1"/>
  <c r="T78" i="12"/>
  <c r="U78" i="12" s="1"/>
  <c r="T79" i="12"/>
  <c r="U79" i="12" s="1"/>
  <c r="T80" i="12"/>
  <c r="U80" i="12" s="1"/>
  <c r="T81" i="12"/>
  <c r="U81" i="12" s="1"/>
  <c r="T83" i="12"/>
  <c r="U83" i="12" s="1"/>
  <c r="T82" i="12"/>
  <c r="U82" i="12" s="1"/>
  <c r="T84" i="12"/>
  <c r="U84" i="12" s="1"/>
  <c r="T85" i="12"/>
  <c r="U85" i="12" s="1"/>
  <c r="T86" i="12"/>
  <c r="U86" i="12" s="1"/>
  <c r="T96" i="12"/>
  <c r="T97" i="12"/>
  <c r="T98" i="12"/>
  <c r="T99" i="12"/>
  <c r="T100" i="12"/>
  <c r="T101" i="12"/>
  <c r="T102" i="12"/>
  <c r="T103" i="12"/>
  <c r="T104" i="12"/>
  <c r="T105" i="12"/>
  <c r="B106" i="12"/>
  <c r="T106" i="12"/>
  <c r="T107" i="12"/>
  <c r="T30" i="11"/>
  <c r="U30" i="11"/>
  <c r="T32" i="11"/>
  <c r="U32" i="11" s="1"/>
  <c r="T33" i="11"/>
  <c r="U33" i="11" s="1"/>
  <c r="T34" i="11"/>
  <c r="U34" i="11" s="1"/>
  <c r="T35" i="11"/>
  <c r="U35" i="11" s="1"/>
  <c r="T36" i="11"/>
  <c r="U36" i="11" s="1"/>
  <c r="T37" i="11"/>
  <c r="U37" i="11" s="1"/>
  <c r="T38" i="11"/>
  <c r="U38" i="11" s="1"/>
  <c r="T39" i="11"/>
  <c r="U39" i="11" s="1"/>
  <c r="T41" i="11"/>
  <c r="U41" i="11" s="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B40" i="11"/>
  <c r="T42" i="11"/>
  <c r="U42" i="11" s="1"/>
  <c r="T43" i="11"/>
  <c r="U43" i="11" s="1"/>
  <c r="T44" i="11"/>
  <c r="U44" i="11" s="1"/>
  <c r="T46" i="11"/>
  <c r="U46" i="11" s="1"/>
  <c r="T47" i="11"/>
  <c r="U47" i="11" s="1"/>
  <c r="T48" i="11"/>
  <c r="U48" i="11" s="1"/>
  <c r="T49" i="11"/>
  <c r="U49" i="11" s="1"/>
  <c r="T50" i="11"/>
  <c r="U50" i="11" s="1"/>
  <c r="T51" i="11"/>
  <c r="U51" i="11" s="1"/>
  <c r="T52" i="11"/>
  <c r="U52" i="11" s="1"/>
  <c r="T53" i="11"/>
  <c r="U53" i="11"/>
  <c r="T55" i="11"/>
  <c r="U55" i="11" s="1"/>
  <c r="T54" i="11"/>
  <c r="U54" i="11"/>
  <c r="T56" i="11"/>
  <c r="U56" i="11" s="1"/>
  <c r="T57" i="11"/>
  <c r="U57" i="11" s="1"/>
  <c r="T60" i="11"/>
  <c r="U60" i="11" s="1"/>
  <c r="T61" i="11"/>
  <c r="U61" i="11" s="1"/>
  <c r="T62" i="11"/>
  <c r="U62" i="11" s="1"/>
  <c r="T63" i="11"/>
  <c r="U63" i="11" s="1"/>
  <c r="T64" i="11"/>
  <c r="U64" i="11" s="1"/>
  <c r="T65" i="11"/>
  <c r="U65" i="11" s="1"/>
  <c r="T66" i="11"/>
  <c r="U66" i="11" s="1"/>
  <c r="T67" i="11"/>
  <c r="U67" i="11" s="1"/>
  <c r="T69" i="11"/>
  <c r="U69" i="11" s="1"/>
  <c r="T68" i="11"/>
  <c r="U68" i="11" s="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T71" i="11"/>
  <c r="U71" i="11" s="1"/>
  <c r="T72" i="11"/>
  <c r="U72" i="11" s="1"/>
  <c r="T10" i="11"/>
  <c r="U10" i="11" s="1"/>
  <c r="T11" i="11"/>
  <c r="U11" i="11" s="1"/>
  <c r="T13" i="11"/>
  <c r="U13" i="11" s="1"/>
  <c r="T12" i="11"/>
  <c r="U12" i="11" s="1"/>
  <c r="T14" i="11"/>
  <c r="U14" i="11" s="1"/>
  <c r="T15" i="11"/>
  <c r="U15" i="11" s="1"/>
  <c r="T16" i="11"/>
  <c r="U16" i="11" s="1"/>
  <c r="T18" i="11"/>
  <c r="U18" i="11" s="1"/>
  <c r="T19" i="11"/>
  <c r="U19" i="11" s="1"/>
  <c r="T20" i="11"/>
  <c r="U20" i="11" s="1"/>
  <c r="T21" i="11"/>
  <c r="U21" i="11" s="1"/>
  <c r="T22" i="11"/>
  <c r="U22" i="11" s="1"/>
  <c r="T23" i="11"/>
  <c r="U23" i="11" s="1"/>
  <c r="T24" i="11"/>
  <c r="U24" i="11" s="1"/>
  <c r="T25" i="11"/>
  <c r="U25" i="11" s="1"/>
  <c r="T27" i="11"/>
  <c r="U27" i="11" s="1"/>
  <c r="T26" i="11"/>
  <c r="U26" i="11" s="1"/>
  <c r="T28" i="11"/>
  <c r="U28" i="11" s="1"/>
  <c r="T29" i="11"/>
  <c r="U29" i="11" s="1"/>
  <c r="T9" i="11"/>
  <c r="U9" i="11" s="1"/>
  <c r="T8" i="11"/>
  <c r="T8" i="12"/>
  <c r="T16" i="12" l="1"/>
  <c r="U16" i="12" s="1"/>
  <c r="W12" i="12"/>
  <c r="X12" i="12" s="1"/>
  <c r="T11" i="12"/>
  <c r="T40" i="11"/>
  <c r="U40" i="11" s="1"/>
  <c r="U56" i="12"/>
  <c r="U11" i="12"/>
  <c r="B95" i="18"/>
  <c r="W15" i="12"/>
  <c r="X15" i="12" s="1"/>
  <c r="T9" i="12"/>
  <c r="U9" i="12" s="1"/>
  <c r="U54" i="12"/>
  <c r="T14" i="12"/>
  <c r="U14" i="12" s="1"/>
  <c r="S96" i="20"/>
  <c r="O105" i="20"/>
  <c r="S86" i="11"/>
  <c r="W11" i="12"/>
  <c r="X11" i="12" s="1"/>
  <c r="S95" i="18"/>
  <c r="B73" i="18"/>
  <c r="W14" i="12"/>
  <c r="X14" i="12" s="1"/>
  <c r="B18" i="19"/>
  <c r="U28" i="12"/>
  <c r="B90" i="11"/>
  <c r="U15" i="12"/>
  <c r="B96" i="20"/>
  <c r="S100" i="20"/>
  <c r="B34" i="19"/>
  <c r="T59" i="12"/>
  <c r="U59" i="12" s="1"/>
  <c r="S90" i="11"/>
  <c r="T12" i="12"/>
  <c r="U12" i="12" s="1"/>
  <c r="T70" i="11"/>
  <c r="S91" i="18"/>
  <c r="B100" i="20"/>
  <c r="B70" i="11"/>
  <c r="B77" i="20"/>
  <c r="B51" i="20"/>
  <c r="U70" i="11" l="1"/>
</calcChain>
</file>

<file path=xl/sharedStrings.xml><?xml version="1.0" encoding="utf-8"?>
<sst xmlns="http://schemas.openxmlformats.org/spreadsheetml/2006/main" count="1919" uniqueCount="199">
  <si>
    <t xml:space="preserve">         </t>
  </si>
  <si>
    <t xml:space="preserve">        </t>
  </si>
  <si>
    <t xml:space="preserve">           </t>
  </si>
  <si>
    <t xml:space="preserve">          </t>
  </si>
  <si>
    <t xml:space="preserve"> 연  말 </t>
  </si>
  <si>
    <t xml:space="preserve">  전   국  </t>
  </si>
  <si>
    <t xml:space="preserve">  서   울 </t>
  </si>
  <si>
    <t xml:space="preserve">  부   산 </t>
  </si>
  <si>
    <t xml:space="preserve">  대   구 </t>
  </si>
  <si>
    <t xml:space="preserve">  인   천 </t>
  </si>
  <si>
    <t xml:space="preserve">  강  원 </t>
  </si>
  <si>
    <t xml:space="preserve">  충  북 </t>
  </si>
  <si>
    <t xml:space="preserve">  충  남 </t>
  </si>
  <si>
    <t xml:space="preserve">  전  북 </t>
  </si>
  <si>
    <t xml:space="preserve">  전  남 </t>
  </si>
  <si>
    <t xml:space="preserve">  경  북 </t>
  </si>
  <si>
    <t xml:space="preserve">  경  남 </t>
  </si>
  <si>
    <t xml:space="preserve">  제  주 </t>
  </si>
  <si>
    <t xml:space="preserve"> 연  말</t>
  </si>
  <si>
    <t xml:space="preserve">      -   </t>
  </si>
  <si>
    <t xml:space="preserve">     -   </t>
  </si>
  <si>
    <t xml:space="preserve">     -    </t>
  </si>
  <si>
    <t xml:space="preserve">    -    </t>
  </si>
  <si>
    <t xml:space="preserve">  광   주</t>
  </si>
  <si>
    <t xml:space="preserve">  대   전</t>
  </si>
  <si>
    <t xml:space="preserve">  울   산 </t>
    <phoneticPr fontId="2" type="noConversion"/>
  </si>
  <si>
    <t xml:space="preserve">  경  기</t>
    <phoneticPr fontId="2" type="noConversion"/>
  </si>
  <si>
    <t>생  명  보  험  회  사</t>
  </si>
  <si>
    <t>임협</t>
    <phoneticPr fontId="2" type="noConversion"/>
  </si>
  <si>
    <t>개     발     기     관 2)</t>
  </si>
  <si>
    <r>
      <t xml:space="preserve">신  용  협  동  조  합 </t>
    </r>
    <r>
      <rPr>
        <vertAlign val="superscript"/>
        <sz val="9"/>
        <rFont val="돋움"/>
        <family val="3"/>
        <charset val="129"/>
      </rPr>
      <t>1)</t>
    </r>
    <phoneticPr fontId="2" type="noConversion"/>
  </si>
  <si>
    <r>
      <t xml:space="preserve">우   체   국      예   금 </t>
    </r>
    <r>
      <rPr>
        <vertAlign val="superscript"/>
        <sz val="9"/>
        <rFont val="돋움"/>
        <family val="3"/>
        <charset val="129"/>
      </rPr>
      <t>2)</t>
    </r>
    <phoneticPr fontId="2" type="noConversion"/>
  </si>
  <si>
    <r>
      <t xml:space="preserve">상     호     금     융 </t>
    </r>
    <r>
      <rPr>
        <vertAlign val="superscript"/>
        <sz val="9"/>
        <rFont val="돋움"/>
        <family val="3"/>
        <charset val="129"/>
      </rPr>
      <t>1)</t>
    </r>
    <phoneticPr fontId="2" type="noConversion"/>
  </si>
  <si>
    <r>
      <t xml:space="preserve">새   마   을   금   고 </t>
    </r>
    <r>
      <rPr>
        <vertAlign val="superscript"/>
        <sz val="9"/>
        <rFont val="돋움"/>
        <family val="3"/>
        <charset val="129"/>
      </rPr>
      <t>1)</t>
    </r>
    <phoneticPr fontId="2" type="noConversion"/>
  </si>
  <si>
    <t>생  명  보  험  회  사</t>
    <phoneticPr fontId="2" type="noConversion"/>
  </si>
  <si>
    <t>1) 조합수(본소 기준) 또는 금고수 기준</t>
    <phoneticPr fontId="2" type="noConversion"/>
  </si>
  <si>
    <t>2) 체신 예금을 취급하지 않는 분실, 우편취급소 제외</t>
    <phoneticPr fontId="2" type="noConversion"/>
  </si>
  <si>
    <t>농협</t>
    <phoneticPr fontId="2" type="noConversion"/>
  </si>
  <si>
    <t>수협</t>
    <phoneticPr fontId="2" type="noConversion"/>
  </si>
  <si>
    <r>
      <t>우   체   국      예   금</t>
    </r>
    <r>
      <rPr>
        <vertAlign val="superscript"/>
        <sz val="9"/>
        <rFont val="돋움"/>
        <family val="3"/>
        <charset val="129"/>
      </rPr>
      <t xml:space="preserve"> 2)</t>
    </r>
    <phoneticPr fontId="2" type="noConversion"/>
  </si>
  <si>
    <t xml:space="preserve">                                    13.    주      요      금      융      기      관                   점       포       수  (Ⅱ)</t>
    <phoneticPr fontId="2" type="noConversion"/>
  </si>
  <si>
    <t xml:space="preserve">                                    13.    주      요      금      융      기      관                   점       포       수  ( I )</t>
    <phoneticPr fontId="2" type="noConversion"/>
  </si>
  <si>
    <t xml:space="preserve">연  말 </t>
    <phoneticPr fontId="2" type="noConversion"/>
  </si>
  <si>
    <t xml:space="preserve">전   국  </t>
    <phoneticPr fontId="2" type="noConversion"/>
  </si>
  <si>
    <t xml:space="preserve"> 서   울 </t>
    <phoneticPr fontId="2" type="noConversion"/>
  </si>
  <si>
    <t xml:space="preserve">부   산 </t>
    <phoneticPr fontId="2" type="noConversion"/>
  </si>
  <si>
    <t xml:space="preserve">대   구 </t>
    <phoneticPr fontId="2" type="noConversion"/>
  </si>
  <si>
    <t xml:space="preserve">인   천 </t>
    <phoneticPr fontId="2" type="noConversion"/>
  </si>
  <si>
    <t xml:space="preserve">광   주 </t>
    <phoneticPr fontId="2" type="noConversion"/>
  </si>
  <si>
    <t xml:space="preserve">대   전 </t>
    <phoneticPr fontId="2" type="noConversion"/>
  </si>
  <si>
    <t>울   산</t>
    <phoneticPr fontId="2" type="noConversion"/>
  </si>
  <si>
    <t>경  기</t>
    <phoneticPr fontId="2" type="noConversion"/>
  </si>
  <si>
    <t xml:space="preserve">강  원 </t>
    <phoneticPr fontId="2" type="noConversion"/>
  </si>
  <si>
    <t xml:space="preserve">충  북 </t>
    <phoneticPr fontId="2" type="noConversion"/>
  </si>
  <si>
    <t xml:space="preserve">충  남 </t>
    <phoneticPr fontId="2" type="noConversion"/>
  </si>
  <si>
    <t xml:space="preserve">전  북 </t>
    <phoneticPr fontId="2" type="noConversion"/>
  </si>
  <si>
    <t xml:space="preserve">전  남 </t>
    <phoneticPr fontId="2" type="noConversion"/>
  </si>
  <si>
    <t xml:space="preserve">경  북 </t>
    <phoneticPr fontId="2" type="noConversion"/>
  </si>
  <si>
    <t xml:space="preserve">경  남 </t>
    <phoneticPr fontId="2" type="noConversion"/>
  </si>
  <si>
    <t xml:space="preserve">제  주 </t>
    <phoneticPr fontId="2" type="noConversion"/>
  </si>
  <si>
    <t>연  말</t>
    <phoneticPr fontId="2" type="noConversion"/>
  </si>
  <si>
    <t xml:space="preserve">     종전과는 달리, 점포소재지별로 집계되었기에 이전계열과는 직접 비교할 수 없음</t>
    <phoneticPr fontId="2" type="noConversion"/>
  </si>
  <si>
    <t xml:space="preserve">     (다만 전국, 부산, 강원, 충북 및 전북은 제외)</t>
    <phoneticPr fontId="2" type="noConversion"/>
  </si>
  <si>
    <r>
      <t xml:space="preserve">개     발     기     관 </t>
    </r>
    <r>
      <rPr>
        <vertAlign val="superscript"/>
        <sz val="9"/>
        <rFont val="돋움"/>
        <family val="3"/>
        <charset val="129"/>
      </rPr>
      <t>2)</t>
    </r>
    <phoneticPr fontId="2" type="noConversion"/>
  </si>
  <si>
    <t>계</t>
    <phoneticPr fontId="2" type="noConversion"/>
  </si>
  <si>
    <t>예금은행</t>
    <phoneticPr fontId="2" type="noConversion"/>
  </si>
  <si>
    <t>비은행</t>
    <phoneticPr fontId="2" type="noConversion"/>
  </si>
  <si>
    <t xml:space="preserve">계 </t>
    <phoneticPr fontId="2" type="noConversion"/>
  </si>
  <si>
    <t>-</t>
    <phoneticPr fontId="2" type="noConversion"/>
  </si>
  <si>
    <t>(상호금융)</t>
    <phoneticPr fontId="2" type="noConversion"/>
  </si>
  <si>
    <t xml:space="preserve">일     반     은     행 </t>
    <phoneticPr fontId="2" type="noConversion"/>
  </si>
  <si>
    <t>일     반     은     행</t>
    <phoneticPr fontId="2" type="noConversion"/>
  </si>
  <si>
    <r>
      <t xml:space="preserve">특     수     은     행 </t>
    </r>
    <r>
      <rPr>
        <vertAlign val="superscript"/>
        <sz val="9"/>
        <rFont val="돋움"/>
        <family val="3"/>
        <charset val="129"/>
      </rPr>
      <t>1)</t>
    </r>
    <phoneticPr fontId="2" type="noConversion"/>
  </si>
  <si>
    <r>
      <t xml:space="preserve">종  합  금  융  회  사 </t>
    </r>
    <r>
      <rPr>
        <vertAlign val="superscript"/>
        <sz val="9"/>
        <rFont val="돋움"/>
        <family val="3"/>
        <charset val="129"/>
      </rPr>
      <t>2)</t>
    </r>
    <phoneticPr fontId="2" type="noConversion"/>
  </si>
  <si>
    <r>
      <t xml:space="preserve">은     행      신     탁 </t>
    </r>
    <r>
      <rPr>
        <vertAlign val="superscript"/>
        <sz val="9"/>
        <rFont val="돋움"/>
        <family val="3"/>
        <charset val="129"/>
      </rPr>
      <t>3)</t>
    </r>
    <phoneticPr fontId="2" type="noConversion"/>
  </si>
  <si>
    <r>
      <t>은      행       신      탁</t>
    </r>
    <r>
      <rPr>
        <vertAlign val="superscript"/>
        <sz val="9"/>
        <rFont val="돋움"/>
        <family val="3"/>
        <charset val="129"/>
      </rPr>
      <t>3)</t>
    </r>
    <phoneticPr fontId="2" type="noConversion"/>
  </si>
  <si>
    <r>
      <t xml:space="preserve">투  자  신  탁   회  사 </t>
    </r>
    <r>
      <rPr>
        <vertAlign val="superscript"/>
        <sz val="9"/>
        <rFont val="돋움"/>
        <family val="3"/>
        <charset val="129"/>
      </rPr>
      <t>4)</t>
    </r>
    <phoneticPr fontId="2" type="noConversion"/>
  </si>
  <si>
    <r>
      <t xml:space="preserve">상  호  저  축  은  행 </t>
    </r>
    <r>
      <rPr>
        <vertAlign val="superscript"/>
        <sz val="9"/>
        <rFont val="돋움"/>
        <family val="3"/>
        <charset val="129"/>
      </rPr>
      <t>5)</t>
    </r>
    <phoneticPr fontId="2" type="noConversion"/>
  </si>
  <si>
    <r>
      <t xml:space="preserve">               상  호  저  축  은  행 </t>
    </r>
    <r>
      <rPr>
        <vertAlign val="superscript"/>
        <sz val="9"/>
        <rFont val="돋움"/>
        <family val="3"/>
        <charset val="129"/>
      </rPr>
      <t>5)</t>
    </r>
    <phoneticPr fontId="2" type="noConversion"/>
  </si>
  <si>
    <t xml:space="preserve"> 1) 2002년부터 산업은행은 개발기관에서 특수은행으로 분류</t>
    <phoneticPr fontId="2" type="noConversion"/>
  </si>
  <si>
    <t xml:space="preserve"> 2) 기관수 기준</t>
    <phoneticPr fontId="2" type="noConversion"/>
  </si>
  <si>
    <t xml:space="preserve"> 3) 은행, 증권회사, 보험사의 신탁</t>
    <phoneticPr fontId="2" type="noConversion"/>
  </si>
  <si>
    <t xml:space="preserve"> 4) 2000. 7월 투자신탁사가 투신운용사로 전환됨에 따라 기관수 기준으로 변경</t>
    <phoneticPr fontId="2" type="noConversion"/>
  </si>
  <si>
    <t xml:space="preserve"> 5) 2003년부터 일부지역을 제외하고는 그간의 영업구역 확대 및 합병 등에도 불구하고 본점기준으로 집계되던 </t>
    <phoneticPr fontId="2" type="noConversion"/>
  </si>
  <si>
    <t xml:space="preserve"> △2003</t>
    <phoneticPr fontId="2" type="noConversion"/>
  </si>
  <si>
    <t xml:space="preserve">                                    13.    주      요      금      융      기      관                   점       포       수  ( I )</t>
    <phoneticPr fontId="2" type="noConversion"/>
  </si>
  <si>
    <t xml:space="preserve">연  말 </t>
    <phoneticPr fontId="2" type="noConversion"/>
  </si>
  <si>
    <t xml:space="preserve">전   국  </t>
    <phoneticPr fontId="2" type="noConversion"/>
  </si>
  <si>
    <t xml:space="preserve"> 서   울 </t>
    <phoneticPr fontId="2" type="noConversion"/>
  </si>
  <si>
    <t xml:space="preserve">부   산 </t>
    <phoneticPr fontId="2" type="noConversion"/>
  </si>
  <si>
    <t xml:space="preserve">대   구 </t>
    <phoneticPr fontId="2" type="noConversion"/>
  </si>
  <si>
    <t xml:space="preserve">인   천 </t>
    <phoneticPr fontId="2" type="noConversion"/>
  </si>
  <si>
    <t xml:space="preserve">광   주 </t>
    <phoneticPr fontId="2" type="noConversion"/>
  </si>
  <si>
    <t xml:space="preserve">대   전 </t>
    <phoneticPr fontId="2" type="noConversion"/>
  </si>
  <si>
    <t>울   산</t>
    <phoneticPr fontId="2" type="noConversion"/>
  </si>
  <si>
    <t>경  기</t>
    <phoneticPr fontId="2" type="noConversion"/>
  </si>
  <si>
    <t xml:space="preserve">강  원 </t>
    <phoneticPr fontId="2" type="noConversion"/>
  </si>
  <si>
    <t xml:space="preserve">충  북 </t>
    <phoneticPr fontId="2" type="noConversion"/>
  </si>
  <si>
    <t xml:space="preserve">충  남 </t>
    <phoneticPr fontId="2" type="noConversion"/>
  </si>
  <si>
    <t xml:space="preserve">전  북 </t>
    <phoneticPr fontId="2" type="noConversion"/>
  </si>
  <si>
    <t xml:space="preserve">전  남 </t>
    <phoneticPr fontId="2" type="noConversion"/>
  </si>
  <si>
    <t xml:space="preserve">경  북 </t>
    <phoneticPr fontId="2" type="noConversion"/>
  </si>
  <si>
    <t xml:space="preserve">경  남 </t>
    <phoneticPr fontId="2" type="noConversion"/>
  </si>
  <si>
    <t xml:space="preserve">제  주 </t>
    <phoneticPr fontId="2" type="noConversion"/>
  </si>
  <si>
    <t>연  말</t>
    <phoneticPr fontId="2" type="noConversion"/>
  </si>
  <si>
    <t xml:space="preserve">일     반     은     행 </t>
    <phoneticPr fontId="2" type="noConversion"/>
  </si>
  <si>
    <t>일     반     은     행</t>
    <phoneticPr fontId="2" type="noConversion"/>
  </si>
  <si>
    <r>
      <t xml:space="preserve">특     수     은     행 </t>
    </r>
    <r>
      <rPr>
        <vertAlign val="superscript"/>
        <sz val="9"/>
        <rFont val="돋움"/>
        <family val="3"/>
        <charset val="129"/>
      </rPr>
      <t>1)</t>
    </r>
    <phoneticPr fontId="2" type="noConversion"/>
  </si>
  <si>
    <r>
      <t xml:space="preserve">종  합  금  융  회  사 </t>
    </r>
    <r>
      <rPr>
        <vertAlign val="superscript"/>
        <sz val="9"/>
        <rFont val="돋움"/>
        <family val="3"/>
        <charset val="129"/>
      </rPr>
      <t>2)</t>
    </r>
    <phoneticPr fontId="2" type="noConversion"/>
  </si>
  <si>
    <t>-</t>
    <phoneticPr fontId="2" type="noConversion"/>
  </si>
  <si>
    <r>
      <t xml:space="preserve">신     탁      계     정 </t>
    </r>
    <r>
      <rPr>
        <vertAlign val="superscript"/>
        <sz val="9"/>
        <rFont val="돋움"/>
        <family val="3"/>
        <charset val="129"/>
      </rPr>
      <t>3)</t>
    </r>
    <phoneticPr fontId="2" type="noConversion"/>
  </si>
  <si>
    <r>
      <t xml:space="preserve">신     탁       계     정 </t>
    </r>
    <r>
      <rPr>
        <vertAlign val="superscript"/>
        <sz val="9"/>
        <rFont val="돋움"/>
        <family val="3"/>
        <charset val="129"/>
      </rPr>
      <t>3)</t>
    </r>
    <phoneticPr fontId="2" type="noConversion"/>
  </si>
  <si>
    <r>
      <t xml:space="preserve">투  자  신  탁   회  사 </t>
    </r>
    <r>
      <rPr>
        <vertAlign val="superscript"/>
        <sz val="9"/>
        <rFont val="돋움"/>
        <family val="3"/>
        <charset val="129"/>
      </rPr>
      <t>4)</t>
    </r>
    <phoneticPr fontId="2" type="noConversion"/>
  </si>
  <si>
    <r>
      <t xml:space="preserve">상  호  저  축  은  행 </t>
    </r>
    <r>
      <rPr>
        <vertAlign val="superscript"/>
        <sz val="9"/>
        <rFont val="돋움"/>
        <family val="3"/>
        <charset val="129"/>
      </rPr>
      <t>5)</t>
    </r>
    <phoneticPr fontId="2" type="noConversion"/>
  </si>
  <si>
    <r>
      <t xml:space="preserve">               상  호  저  축  은  행 </t>
    </r>
    <r>
      <rPr>
        <vertAlign val="superscript"/>
        <sz val="9"/>
        <rFont val="돋움"/>
        <family val="3"/>
        <charset val="129"/>
      </rPr>
      <t>5)</t>
    </r>
    <phoneticPr fontId="2" type="noConversion"/>
  </si>
  <si>
    <t xml:space="preserve"> △2003</t>
    <phoneticPr fontId="2" type="noConversion"/>
  </si>
  <si>
    <t xml:space="preserve"> 1) 2002년부터 산업은행은 개발기관에서 특수은행으로 분류</t>
    <phoneticPr fontId="2" type="noConversion"/>
  </si>
  <si>
    <t xml:space="preserve"> 2) 기관수 기준</t>
    <phoneticPr fontId="2" type="noConversion"/>
  </si>
  <si>
    <t xml:space="preserve"> 3) 은행, 증권회사, 보험사의 신탁계정</t>
    <phoneticPr fontId="2" type="noConversion"/>
  </si>
  <si>
    <t xml:space="preserve"> 4) 2000. 7월 투자신탁사가 투신운용사로 전환됨에 따라 기관수 기준으로 변경</t>
    <phoneticPr fontId="2" type="noConversion"/>
  </si>
  <si>
    <t xml:space="preserve"> 5) 2003년부터 일부지역을 제외하고는 그간의 영업구역 확대 및 합병 등에도 불구하고 본점기준으로 집계되던 </t>
    <phoneticPr fontId="2" type="noConversion"/>
  </si>
  <si>
    <t xml:space="preserve">     종전과는 달리, 점포소재지별로 집계되었기에 이전계열과는 직접 비교할 수 없음</t>
    <phoneticPr fontId="2" type="noConversion"/>
  </si>
  <si>
    <t xml:space="preserve">     (다만 전국, 부산, 강원, 충북 및 전북은 제외)</t>
    <phoneticPr fontId="2" type="noConversion"/>
  </si>
  <si>
    <r>
      <t xml:space="preserve">개     발     기     관 </t>
    </r>
    <r>
      <rPr>
        <vertAlign val="superscript"/>
        <sz val="9"/>
        <rFont val="돋움"/>
        <family val="3"/>
        <charset val="129"/>
      </rPr>
      <t>2)</t>
    </r>
    <phoneticPr fontId="2" type="noConversion"/>
  </si>
  <si>
    <t>계</t>
    <phoneticPr fontId="2" type="noConversion"/>
  </si>
  <si>
    <t>예금은행</t>
    <phoneticPr fontId="2" type="noConversion"/>
  </si>
  <si>
    <t>비은행</t>
    <phoneticPr fontId="2" type="noConversion"/>
  </si>
  <si>
    <t xml:space="preserve">                                    13.    주      요      금      융      기      관                   점       포       수  (Ⅱ)</t>
    <phoneticPr fontId="2" type="noConversion"/>
  </si>
  <si>
    <t xml:space="preserve">  울   산 </t>
    <phoneticPr fontId="2" type="noConversion"/>
  </si>
  <si>
    <t xml:space="preserve">  경  기</t>
    <phoneticPr fontId="2" type="noConversion"/>
  </si>
  <si>
    <r>
      <t xml:space="preserve">신  용  협  동  조  합 </t>
    </r>
    <r>
      <rPr>
        <vertAlign val="superscript"/>
        <sz val="9"/>
        <rFont val="돋움"/>
        <family val="3"/>
        <charset val="129"/>
      </rPr>
      <t>1)</t>
    </r>
    <phoneticPr fontId="2" type="noConversion"/>
  </si>
  <si>
    <r>
      <t xml:space="preserve">우   체   국      예   금 </t>
    </r>
    <r>
      <rPr>
        <vertAlign val="superscript"/>
        <sz val="9"/>
        <rFont val="돋움"/>
        <family val="3"/>
        <charset val="129"/>
      </rPr>
      <t>2)</t>
    </r>
    <phoneticPr fontId="2" type="noConversion"/>
  </si>
  <si>
    <r>
      <t>우   체   국      예   금</t>
    </r>
    <r>
      <rPr>
        <vertAlign val="superscript"/>
        <sz val="9"/>
        <rFont val="돋움"/>
        <family val="3"/>
        <charset val="129"/>
      </rPr>
      <t xml:space="preserve"> 2)</t>
    </r>
    <phoneticPr fontId="2" type="noConversion"/>
  </si>
  <si>
    <r>
      <t xml:space="preserve">상     호     금     융 </t>
    </r>
    <r>
      <rPr>
        <vertAlign val="superscript"/>
        <sz val="9"/>
        <rFont val="돋움"/>
        <family val="3"/>
        <charset val="129"/>
      </rPr>
      <t>1)</t>
    </r>
    <phoneticPr fontId="2" type="noConversion"/>
  </si>
  <si>
    <r>
      <t xml:space="preserve">새   마   을   금   고 </t>
    </r>
    <r>
      <rPr>
        <vertAlign val="superscript"/>
        <sz val="9"/>
        <rFont val="돋움"/>
        <family val="3"/>
        <charset val="129"/>
      </rPr>
      <t>1)</t>
    </r>
    <phoneticPr fontId="2" type="noConversion"/>
  </si>
  <si>
    <t>생  명  보  험  회  사</t>
    <phoneticPr fontId="2" type="noConversion"/>
  </si>
  <si>
    <t>1) 조합수(본소 기준) 또는 금고수 기준</t>
    <phoneticPr fontId="2" type="noConversion"/>
  </si>
  <si>
    <t>2) 체신 예금을 취급하지 않는 분실, 우편취급소 제외</t>
    <phoneticPr fontId="2" type="noConversion"/>
  </si>
  <si>
    <t xml:space="preserve">계 </t>
    <phoneticPr fontId="2" type="noConversion"/>
  </si>
  <si>
    <t>(상호금융)</t>
    <phoneticPr fontId="2" type="noConversion"/>
  </si>
  <si>
    <t>농협</t>
    <phoneticPr fontId="2" type="noConversion"/>
  </si>
  <si>
    <t>수협</t>
    <phoneticPr fontId="2" type="noConversion"/>
  </si>
  <si>
    <t>임협</t>
    <phoneticPr fontId="2" type="noConversion"/>
  </si>
  <si>
    <r>
      <t xml:space="preserve">종  합  금  융  회  사 </t>
    </r>
    <r>
      <rPr>
        <vertAlign val="superscript"/>
        <sz val="9"/>
        <rFont val="돋움"/>
        <family val="3"/>
        <charset val="129"/>
      </rPr>
      <t>2)</t>
    </r>
    <phoneticPr fontId="2" type="noConversion"/>
  </si>
  <si>
    <r>
      <t xml:space="preserve">신     탁      회    사 </t>
    </r>
    <r>
      <rPr>
        <vertAlign val="superscript"/>
        <sz val="9"/>
        <rFont val="돋움"/>
        <family val="3"/>
        <charset val="129"/>
      </rPr>
      <t>3)</t>
    </r>
    <phoneticPr fontId="2" type="noConversion"/>
  </si>
  <si>
    <r>
      <t xml:space="preserve">자  산  운  용   회  사 </t>
    </r>
    <r>
      <rPr>
        <vertAlign val="superscript"/>
        <sz val="9"/>
        <rFont val="돋움"/>
        <family val="3"/>
        <charset val="129"/>
      </rPr>
      <t>4)</t>
    </r>
    <phoneticPr fontId="2" type="noConversion"/>
  </si>
  <si>
    <t>신     탁      회    사 3)</t>
  </si>
  <si>
    <t xml:space="preserve"> 3) 은행, 증권회사, 보험사의 신탁계정을  신탁회사 지칭</t>
    <phoneticPr fontId="2" type="noConversion"/>
  </si>
  <si>
    <t>2) 체신 예금을 취급하지 않는 체신청과 출장소 제외</t>
    <phoneticPr fontId="2" type="noConversion"/>
  </si>
  <si>
    <t xml:space="preserve"> 4) 2000.7월 투자신탁사가 투신운용사로 전환됨에 따라 기관수 기준으로 변경
     2006.12월 부터는 자산운용사 펀드상품의 판매점포수</t>
    <phoneticPr fontId="2" type="noConversion"/>
  </si>
  <si>
    <t>입협</t>
    <phoneticPr fontId="2" type="noConversion"/>
  </si>
  <si>
    <t>연월말</t>
    <phoneticPr fontId="2" type="noConversion"/>
  </si>
  <si>
    <t>일반은행</t>
    <phoneticPr fontId="2" type="noConversion"/>
  </si>
  <si>
    <t>특수은행</t>
    <phoneticPr fontId="2" type="noConversion"/>
  </si>
  <si>
    <t>종합금융회사</t>
    <phoneticPr fontId="2" type="noConversion"/>
  </si>
  <si>
    <t>신탁회사</t>
    <phoneticPr fontId="2" type="noConversion"/>
  </si>
  <si>
    <t>자산운용회사</t>
    <phoneticPr fontId="2" type="noConversion"/>
  </si>
  <si>
    <t>상호저축은행</t>
    <phoneticPr fontId="2" type="noConversion"/>
  </si>
  <si>
    <t>신용협동조합</t>
    <phoneticPr fontId="2" type="noConversion"/>
  </si>
  <si>
    <t>우체국예금</t>
    <phoneticPr fontId="2" type="noConversion"/>
  </si>
  <si>
    <t>상호금융</t>
    <phoneticPr fontId="2" type="noConversion"/>
  </si>
  <si>
    <t>새마을금고</t>
    <phoneticPr fontId="2" type="noConversion"/>
  </si>
  <si>
    <t>전국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</si>
  <si>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</si>
  <si>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</si>
  <si>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</si>
  <si>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</si>
  <si>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</si>
  <si>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</si>
  <si>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</si>
  <si>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</si>
  <si>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</si>
  <si>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</si>
  <si>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</si>
  <si>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</si>
  <si>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</si>
  <si>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</si>
  <si>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</si>
  <si>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</si>
  <si>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세종</t>
    <phoneticPr fontId="2" type="noConversion"/>
  </si>
  <si>
    <t>세분류</t>
    <phoneticPr fontId="2" type="noConversion"/>
  </si>
  <si>
    <t>1. 예금은행 광역시도별 점포수</t>
    <phoneticPr fontId="2" type="noConversion"/>
  </si>
  <si>
    <t>2. 비은행예금취급기관 광역시도별 점포수</t>
    <phoneticPr fontId="2" type="noConversion"/>
  </si>
  <si>
    <t>(단위: 개)</t>
    <phoneticPr fontId="2" type="noConversion"/>
  </si>
  <si>
    <t>[주석]</t>
    <phoneticPr fontId="2" type="noConversion"/>
  </si>
  <si>
    <r>
      <t xml:space="preserve"> 2) </t>
    </r>
    <r>
      <rPr>
        <b/>
        <sz val="10"/>
        <color theme="7"/>
        <rFont val="맑은 고딕"/>
        <family val="3"/>
        <charset val="129"/>
        <scheme val="major"/>
      </rPr>
      <t>특수은행</t>
    </r>
    <r>
      <rPr>
        <sz val="10"/>
        <rFont val="맑은 고딕"/>
        <family val="3"/>
        <charset val="129"/>
        <scheme val="major"/>
      </rPr>
      <t>: 기업은행, 농협은행, 수협은행, 산업은행 포함 (수출입은행 제외)</t>
    </r>
    <phoneticPr fontId="2" type="noConversion"/>
  </si>
  <si>
    <r>
      <t xml:space="preserve"> 1) </t>
    </r>
    <r>
      <rPr>
        <b/>
        <sz val="10"/>
        <color theme="7"/>
        <rFont val="맑은 고딕"/>
        <family val="3"/>
        <charset val="129"/>
        <scheme val="major"/>
      </rPr>
      <t>종합금융회사</t>
    </r>
    <r>
      <rPr>
        <sz val="10"/>
        <rFont val="맑은 고딕"/>
        <family val="3"/>
        <charset val="129"/>
        <scheme val="major"/>
      </rPr>
      <t>: 기관수 기준 작성</t>
    </r>
    <phoneticPr fontId="2" type="noConversion"/>
  </si>
  <si>
    <t>(별첨)</t>
    <phoneticPr fontId="2" type="noConversion"/>
  </si>
  <si>
    <t xml:space="preserve"> 3) 세종시는 2012년 자료부터 시계열 존재(2012.7월 출범)</t>
    <phoneticPr fontId="2" type="noConversion"/>
  </si>
  <si>
    <r>
      <t xml:space="preserve"> 1) </t>
    </r>
    <r>
      <rPr>
        <b/>
        <sz val="10"/>
        <color theme="7"/>
        <rFont val="맑은 고딕"/>
        <family val="3"/>
        <charset val="129"/>
        <scheme val="major"/>
      </rPr>
      <t>일반은행</t>
    </r>
    <r>
      <rPr>
        <sz val="10"/>
        <rFont val="맑은 고딕"/>
        <family val="3"/>
        <charset val="129"/>
        <scheme val="major"/>
      </rPr>
      <t>: 시중은행, 지방은행, 외은지점(외국은행 국내지점) 포함</t>
    </r>
    <phoneticPr fontId="2" type="noConversion"/>
  </si>
  <si>
    <t>우체국예금</t>
    <phoneticPr fontId="2" type="noConversion"/>
  </si>
  <si>
    <r>
      <t xml:space="preserve"> 2) </t>
    </r>
    <r>
      <rPr>
        <b/>
        <sz val="10"/>
        <color theme="7"/>
        <rFont val="맑은 고딕"/>
        <family val="3"/>
        <charset val="129"/>
        <scheme val="major"/>
      </rPr>
      <t>신용협동조합</t>
    </r>
    <r>
      <rPr>
        <sz val="10"/>
        <rFont val="맑은 고딕"/>
        <family val="3"/>
        <charset val="129"/>
        <scheme val="major"/>
      </rPr>
      <t xml:space="preserve">, </t>
    </r>
    <r>
      <rPr>
        <b/>
        <sz val="10"/>
        <color theme="7"/>
        <rFont val="맑은 고딕"/>
        <family val="3"/>
        <charset val="129"/>
        <scheme val="major"/>
      </rPr>
      <t>상호금융</t>
    </r>
    <r>
      <rPr>
        <sz val="10"/>
        <rFont val="맑은 고딕"/>
        <family val="3"/>
        <charset val="129"/>
        <scheme val="major"/>
      </rPr>
      <t xml:space="preserve">, </t>
    </r>
    <r>
      <rPr>
        <b/>
        <sz val="10"/>
        <color theme="7"/>
        <rFont val="맑은 고딕"/>
        <family val="3"/>
        <charset val="129"/>
        <scheme val="major"/>
      </rPr>
      <t>새마을금고</t>
    </r>
    <r>
      <rPr>
        <sz val="10"/>
        <rFont val="맑은 고딕"/>
        <family val="3"/>
        <charset val="129"/>
        <scheme val="major"/>
      </rPr>
      <t>: 조합수(본소 기준) 또는 금고수 기준</t>
    </r>
    <phoneticPr fontId="2" type="noConversion"/>
  </si>
  <si>
    <r>
      <t xml:space="preserve"> 3) </t>
    </r>
    <r>
      <rPr>
        <b/>
        <sz val="10"/>
        <color theme="7"/>
        <rFont val="맑은 고딕"/>
        <family val="3"/>
        <charset val="129"/>
        <scheme val="major"/>
      </rPr>
      <t>우체국예금</t>
    </r>
    <r>
      <rPr>
        <sz val="10"/>
        <rFont val="맑은 고딕"/>
        <family val="3"/>
        <charset val="129"/>
        <scheme val="major"/>
      </rPr>
      <t>: 우체국 예금을 취급하지 않는 체신취급국 및 지방우정청 제외</t>
    </r>
    <phoneticPr fontId="2" type="noConversion"/>
  </si>
  <si>
    <t xml:space="preserve"> 4) 세종시는 2012년 자료부터 시계열 존재(2012.7월 출범)</t>
    <phoneticPr fontId="2" type="noConversion"/>
  </si>
  <si>
    <t>상호저축은행</t>
    <phoneticPr fontId="2" type="noConversion"/>
  </si>
  <si>
    <t>상호금융</t>
    <phoneticPr fontId="2" type="noConversion"/>
  </si>
  <si>
    <t>새마을금고</t>
    <phoneticPr fontId="2" type="noConversion"/>
  </si>
  <si>
    <t>수출입은행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</si>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</sst>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 * #,##0_ ;_ * \-#,##0_ ;_ * &quot;-&quot;_ ;_ @_ "/>
    <numFmt numFmtId="178" formatCode="#,##0.0_);[Red]\(#,##0.0\)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 ;[Red]\-#,##0\ "/>
  </numFmts>
  <fonts count="1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9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vertAlign val="superscript"/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2"/>
      <color theme="4"/>
      <name val="맑은 고딕"/>
      <family val="3"/>
      <charset val="129"/>
      <scheme val="major"/>
    </font>
    <font>
      <b/>
      <sz val="10"/>
      <color theme="7"/>
      <name val="맑은 고딕"/>
      <family val="3"/>
      <charset val="129"/>
      <scheme val="major"/>
    </font>
    <font>
      <b/>
      <sz val="10"/>
      <color theme="5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177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0" fontId="12" fillId="0" borderId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/>
    <xf numFmtId="177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vertical="center"/>
    </xf>
    <xf numFmtId="0" fontId="10" fillId="0" borderId="0"/>
    <xf numFmtId="0" fontId="9" fillId="0" borderId="0"/>
    <xf numFmtId="177" fontId="1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3" fillId="0" borderId="0">
      <alignment vertical="center"/>
    </xf>
  </cellStyleXfs>
  <cellXfs count="140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>
      <alignment vertical="center"/>
    </xf>
    <xf numFmtId="176" fontId="4" fillId="0" borderId="0" xfId="0" applyNumberFormat="1" applyFont="1" applyFill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0" borderId="5" xfId="0" applyNumberFormat="1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76" fontId="6" fillId="0" borderId="5" xfId="0" applyNumberFormat="1" applyFont="1" applyFill="1" applyBorder="1">
      <alignment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>
      <alignment vertical="center"/>
    </xf>
    <xf numFmtId="0" fontId="6" fillId="0" borderId="0" xfId="0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6" fontId="6" fillId="0" borderId="8" xfId="0" applyNumberFormat="1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" xfId="0" applyFont="1" applyBorder="1">
      <alignment vertical="center"/>
    </xf>
    <xf numFmtId="176" fontId="6" fillId="0" borderId="0" xfId="0" applyNumberFormat="1" applyFo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Fill="1">
      <alignment vertical="center"/>
    </xf>
    <xf numFmtId="176" fontId="6" fillId="0" borderId="6" xfId="0" applyNumberFormat="1" applyFont="1" applyFill="1" applyBorder="1">
      <alignment vertical="center"/>
    </xf>
    <xf numFmtId="176" fontId="6" fillId="0" borderId="4" xfId="0" applyNumberFormat="1" applyFont="1" applyFill="1" applyBorder="1">
      <alignment vertical="center"/>
    </xf>
    <xf numFmtId="176" fontId="4" fillId="0" borderId="0" xfId="0" applyNumberFormat="1" applyFont="1">
      <alignment vertical="center"/>
    </xf>
    <xf numFmtId="176" fontId="4" fillId="0" borderId="0" xfId="0" applyNumberFormat="1" applyFont="1" applyFill="1" applyBorder="1">
      <alignment vertical="center"/>
    </xf>
    <xf numFmtId="176" fontId="4" fillId="0" borderId="0" xfId="0" applyNumberFormat="1" applyFont="1" applyBorder="1">
      <alignment vertical="center"/>
    </xf>
    <xf numFmtId="0" fontId="6" fillId="2" borderId="0" xfId="0" applyFont="1" applyFill="1" applyAlignment="1">
      <alignment horizontal="center" vertical="center"/>
    </xf>
    <xf numFmtId="176" fontId="6" fillId="2" borderId="0" xfId="0" applyNumberFormat="1" applyFont="1" applyFill="1">
      <alignment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176" fontId="6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6" fillId="0" borderId="0" xfId="0" applyNumberFormat="1" applyFont="1" applyFill="1">
      <alignment vertical="center"/>
    </xf>
    <xf numFmtId="41" fontId="4" fillId="0" borderId="0" xfId="6" applyFont="1">
      <alignment vertical="center"/>
    </xf>
    <xf numFmtId="41" fontId="4" fillId="0" borderId="0" xfId="6" applyFont="1" applyFill="1">
      <alignment vertical="center"/>
    </xf>
    <xf numFmtId="41" fontId="6" fillId="0" borderId="0" xfId="6" applyFont="1" applyFill="1">
      <alignment vertical="center"/>
    </xf>
    <xf numFmtId="178" fontId="4" fillId="0" borderId="0" xfId="0" applyNumberFormat="1" applyFont="1">
      <alignment vertical="center"/>
    </xf>
    <xf numFmtId="178" fontId="4" fillId="0" borderId="0" xfId="0" applyNumberFormat="1" applyFont="1" applyFill="1">
      <alignment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76" fontId="6" fillId="4" borderId="5" xfId="0" applyNumberFormat="1" applyFont="1" applyFill="1" applyBorder="1">
      <alignment vertical="center"/>
    </xf>
    <xf numFmtId="176" fontId="4" fillId="4" borderId="0" xfId="0" applyNumberFormat="1" applyFont="1" applyFill="1">
      <alignment vertical="center"/>
    </xf>
    <xf numFmtId="41" fontId="6" fillId="4" borderId="0" xfId="6" applyFont="1" applyFill="1">
      <alignment vertical="center"/>
    </xf>
    <xf numFmtId="0" fontId="6" fillId="4" borderId="0" xfId="0" applyFont="1" applyFill="1">
      <alignment vertical="center"/>
    </xf>
    <xf numFmtId="41" fontId="6" fillId="0" borderId="5" xfId="0" applyNumberFormat="1" applyFont="1" applyBorder="1" applyAlignment="1">
      <alignment horizontal="right" vertical="center"/>
    </xf>
    <xf numFmtId="41" fontId="6" fillId="4" borderId="5" xfId="0" applyNumberFormat="1" applyFont="1" applyFill="1" applyBorder="1" applyAlignment="1">
      <alignment horizontal="right" vertical="center"/>
    </xf>
    <xf numFmtId="176" fontId="6" fillId="0" borderId="4" xfId="0" applyNumberFormat="1" applyFont="1" applyBorder="1">
      <alignment vertical="center"/>
    </xf>
    <xf numFmtId="176" fontId="6" fillId="4" borderId="4" xfId="0" applyNumberFormat="1" applyFont="1" applyFill="1" applyBorder="1">
      <alignment vertical="center"/>
    </xf>
    <xf numFmtId="176" fontId="4" fillId="4" borderId="0" xfId="0" applyNumberFormat="1" applyFont="1" applyFill="1" applyBorder="1">
      <alignment vertical="center"/>
    </xf>
    <xf numFmtId="49" fontId="6" fillId="4" borderId="0" xfId="0" applyNumberFormat="1" applyFont="1" applyFill="1">
      <alignment vertical="center"/>
    </xf>
    <xf numFmtId="41" fontId="6" fillId="0" borderId="5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41" fontId="6" fillId="0" borderId="0" xfId="0" applyNumberFormat="1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176" fontId="6" fillId="0" borderId="8" xfId="0" applyNumberFormat="1" applyFont="1" applyFill="1" applyBorder="1">
      <alignment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6" fillId="0" borderId="2" xfId="0" applyFont="1" applyFill="1" applyBorder="1">
      <alignment vertical="center"/>
    </xf>
    <xf numFmtId="176" fontId="6" fillId="0" borderId="0" xfId="0" applyNumberFormat="1" applyFont="1" applyFill="1">
      <alignment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176" fontId="6" fillId="4" borderId="0" xfId="0" applyNumberFormat="1" applyFont="1" applyFill="1">
      <alignment vertical="center"/>
    </xf>
    <xf numFmtId="176" fontId="6" fillId="4" borderId="0" xfId="0" applyNumberFormat="1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14" fillId="0" borderId="0" xfId="0" applyFont="1" applyAlignment="1">
      <alignment vertical="center"/>
    </xf>
    <xf numFmtId="0" fontId="14" fillId="0" borderId="0" xfId="0" applyFont="1">
      <alignment vertical="center"/>
    </xf>
    <xf numFmtId="0" fontId="14" fillId="6" borderId="10" xfId="0" applyFont="1" applyFill="1" applyBorder="1" applyAlignment="1">
      <alignment vertical="center"/>
    </xf>
    <xf numFmtId="0" fontId="14" fillId="0" borderId="10" xfId="0" applyFont="1" applyFill="1" applyBorder="1" applyAlignment="1">
      <alignment vertical="center"/>
    </xf>
    <xf numFmtId="0" fontId="14" fillId="0" borderId="10" xfId="0" applyFont="1" applyFill="1" applyBorder="1" applyAlignment="1">
      <alignment horizontal="left" vertical="center"/>
    </xf>
    <xf numFmtId="0" fontId="14" fillId="0" borderId="0" xfId="0" applyFont="1" applyFill="1">
      <alignment vertical="center"/>
    </xf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vertical="center" wrapText="1"/>
    </xf>
    <xf numFmtId="0" fontId="14" fillId="0" borderId="0" xfId="0" applyFont="1" applyFill="1" applyAlignment="1">
      <alignment horizontal="left" vertical="center"/>
    </xf>
    <xf numFmtId="0" fontId="15" fillId="0" borderId="0" xfId="0" applyFont="1" applyFill="1">
      <alignment vertical="center"/>
    </xf>
    <xf numFmtId="0" fontId="16" fillId="0" borderId="0" xfId="0" applyFont="1" applyAlignment="1">
      <alignment vertical="center"/>
    </xf>
    <xf numFmtId="182" fontId="14" fillId="0" borderId="10" xfId="0" applyNumberFormat="1" applyFont="1" applyFill="1" applyBorder="1">
      <alignment vertical="center"/>
    </xf>
    <xf numFmtId="0" fontId="14" fillId="7" borderId="0" xfId="0" applyFont="1" applyFill="1">
      <alignment vertical="center"/>
    </xf>
    <xf numFmtId="0" fontId="14" fillId="7" borderId="0" xfId="0" applyFont="1" applyFill="1" applyAlignment="1">
      <alignment vertical="center"/>
    </xf>
    <xf numFmtId="0" fontId="14" fillId="7" borderId="0" xfId="0" applyFont="1" applyFill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8" fillId="7" borderId="0" xfId="0" applyFont="1" applyFill="1" applyAlignment="1">
      <alignment vertical="center"/>
    </xf>
    <xf numFmtId="182" fontId="14" fillId="0" borderId="10" xfId="0" applyNumberFormat="1" applyFont="1" applyFill="1" applyBorder="1" applyAlignment="1">
      <alignment horizontal="right" vertical="center"/>
    </xf>
    <xf numFmtId="0" fontId="14" fillId="8" borderId="10" xfId="0" applyFont="1" applyFill="1" applyBorder="1" applyAlignment="1">
      <alignment vertical="center"/>
    </xf>
    <xf numFmtId="0" fontId="14" fillId="8" borderId="10" xfId="0" applyFont="1" applyFill="1" applyBorder="1" applyAlignment="1">
      <alignment horizontal="left" vertical="center"/>
    </xf>
    <xf numFmtId="182" fontId="14" fillId="8" borderId="10" xfId="0" applyNumberFormat="1" applyFont="1" applyFill="1" applyBorder="1">
      <alignment vertical="center"/>
    </xf>
    <xf numFmtId="0" fontId="14" fillId="9" borderId="10" xfId="0" applyFont="1" applyFill="1" applyBorder="1">
      <alignment vertical="center"/>
    </xf>
    <xf numFmtId="0" fontId="14" fillId="0" borderId="12" xfId="0" applyFont="1" applyFill="1" applyBorder="1" applyAlignment="1">
      <alignment vertical="center"/>
    </xf>
    <xf numFmtId="0" fontId="14" fillId="0" borderId="12" xfId="0" applyFont="1" applyFill="1" applyBorder="1" applyAlignment="1">
      <alignment horizontal="left" vertical="center"/>
    </xf>
    <xf numFmtId="182" fontId="14" fillId="0" borderId="12" xfId="0" applyNumberFormat="1" applyFont="1" applyFill="1" applyBorder="1">
      <alignment vertical="center"/>
    </xf>
    <xf numFmtId="182" fontId="14" fillId="0" borderId="12" xfId="0" applyNumberFormat="1" applyFont="1" applyFill="1" applyBorder="1" applyAlignment="1">
      <alignment horizontal="right" vertical="center"/>
    </xf>
    <xf numFmtId="0" fontId="14" fillId="10" borderId="0" xfId="0" applyFont="1" applyFill="1">
      <alignment vertical="center"/>
    </xf>
    <xf numFmtId="0" fontId="14" fillId="10" borderId="13" xfId="0" applyFont="1" applyFill="1" applyBorder="1">
      <alignment vertical="center"/>
    </xf>
    <xf numFmtId="0" fontId="14" fillId="10" borderId="10" xfId="0" applyFont="1" applyFill="1" applyBorder="1">
      <alignment vertical="center"/>
    </xf>
    <xf numFmtId="182" fontId="14" fillId="0" borderId="16" xfId="0" applyNumberFormat="1" applyFont="1" applyFill="1" applyBorder="1">
      <alignment vertical="center"/>
    </xf>
    <xf numFmtId="182" fontId="14" fillId="0" borderId="15" xfId="0" applyNumberFormat="1" applyFont="1" applyFill="1" applyBorder="1">
      <alignment vertical="center"/>
    </xf>
    <xf numFmtId="182" fontId="14" fillId="8" borderId="15" xfId="0" applyNumberFormat="1" applyFont="1" applyFill="1" applyBorder="1">
      <alignment vertical="center"/>
    </xf>
    <xf numFmtId="0" fontId="14" fillId="0" borderId="0" xfId="0" applyFont="1" applyBorder="1">
      <alignment vertical="center"/>
    </xf>
    <xf numFmtId="0" fontId="14" fillId="9" borderId="0" xfId="0" applyFont="1" applyFill="1" applyBorder="1">
      <alignment vertical="center"/>
    </xf>
    <xf numFmtId="0" fontId="14" fillId="10" borderId="0" xfId="0" applyFont="1" applyFill="1" applyBorder="1">
      <alignment vertical="center"/>
    </xf>
    <xf numFmtId="0" fontId="14" fillId="0" borderId="0" xfId="0" applyFont="1" applyFill="1" applyBorder="1">
      <alignment vertical="center"/>
    </xf>
    <xf numFmtId="0" fontId="14" fillId="8" borderId="11" xfId="0" applyFont="1" applyFill="1" applyBorder="1" applyAlignment="1">
      <alignment vertical="center"/>
    </xf>
    <xf numFmtId="0" fontId="14" fillId="8" borderId="11" xfId="0" applyFont="1" applyFill="1" applyBorder="1" applyAlignment="1">
      <alignment horizontal="left" vertical="center"/>
    </xf>
    <xf numFmtId="182" fontId="14" fillId="8" borderId="11" xfId="0" applyNumberFormat="1" applyFont="1" applyFill="1" applyBorder="1">
      <alignment vertical="center"/>
    </xf>
    <xf numFmtId="182" fontId="14" fillId="8" borderId="14" xfId="0" applyNumberFormat="1" applyFont="1" applyFill="1" applyBorder="1">
      <alignment vertical="center"/>
    </xf>
    <xf numFmtId="0" fontId="15" fillId="10" borderId="12" xfId="0" applyFont="1" applyFill="1" applyBorder="1" applyAlignment="1">
      <alignment vertical="center"/>
    </xf>
    <xf numFmtId="0" fontId="15" fillId="10" borderId="12" xfId="0" applyFont="1" applyFill="1" applyBorder="1" applyAlignment="1">
      <alignment horizontal="left" vertical="center"/>
    </xf>
    <xf numFmtId="182" fontId="15" fillId="10" borderId="12" xfId="0" applyNumberFormat="1" applyFont="1" applyFill="1" applyBorder="1">
      <alignment vertical="center"/>
    </xf>
    <xf numFmtId="182" fontId="15" fillId="10" borderId="16" xfId="0" applyNumberFormat="1" applyFont="1" applyFill="1" applyBorder="1">
      <alignment vertical="center"/>
    </xf>
    <xf numFmtId="0" fontId="15" fillId="10" borderId="10" xfId="0" applyFont="1" applyFill="1" applyBorder="1" applyAlignment="1">
      <alignment vertical="center"/>
    </xf>
    <xf numFmtId="0" fontId="15" fillId="10" borderId="10" xfId="0" applyFont="1" applyFill="1" applyBorder="1" applyAlignment="1">
      <alignment horizontal="left" vertical="center"/>
    </xf>
    <xf numFmtId="182" fontId="15" fillId="10" borderId="10" xfId="0" applyNumberFormat="1" applyFont="1" applyFill="1" applyBorder="1">
      <alignment vertical="center"/>
    </xf>
    <xf numFmtId="182" fontId="15" fillId="10" borderId="15" xfId="0" applyNumberFormat="1" applyFont="1" applyFill="1" applyBorder="1">
      <alignment vertical="center"/>
    </xf>
    <xf numFmtId="3" fontId="15" fillId="10" borderId="10" xfId="0" applyNumberFormat="1" applyFont="1" applyFill="1" applyBorder="1">
      <alignment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182" fontId="15" fillId="0" borderId="0" xfId="0" applyNumberFormat="1" applyFont="1" applyFill="1" applyBorder="1">
      <alignment vertical="center"/>
    </xf>
  </cellXfs>
  <cellStyles count="18">
    <cellStyle name="Comma [0]_laroux" xfId="1" xr:uid="{00000000-0005-0000-0000-000000000000}"/>
    <cellStyle name="Comma_laroux" xfId="2" xr:uid="{00000000-0005-0000-0000-000001000000}"/>
    <cellStyle name="Currency [0]_laroux" xfId="3" xr:uid="{00000000-0005-0000-0000-000002000000}"/>
    <cellStyle name="Currency_laroux" xfId="4" xr:uid="{00000000-0005-0000-0000-000003000000}"/>
    <cellStyle name="Normal_Certs Q2" xfId="5" xr:uid="{00000000-0005-0000-0000-000004000000}"/>
    <cellStyle name="쉼표 [0]" xfId="6" builtinId="6"/>
    <cellStyle name="쉼표 [0] 2" xfId="7" xr:uid="{00000000-0005-0000-0000-000006000000}"/>
    <cellStyle name="쉼표 [0] 2 2" xfId="15" xr:uid="{00000000-0005-0000-0000-000007000000}"/>
    <cellStyle name="쉼표 [0] 3" xfId="8" xr:uid="{00000000-0005-0000-0000-000008000000}"/>
    <cellStyle name="쉼표 [0] 3 2" xfId="16" xr:uid="{00000000-0005-0000-0000-000009000000}"/>
    <cellStyle name="쉼표 [0] 4" xfId="9" xr:uid="{00000000-0005-0000-0000-00000A000000}"/>
    <cellStyle name="콤마 [0]_2003년생협통계" xfId="10" xr:uid="{00000000-0005-0000-0000-00000B000000}"/>
    <cellStyle name="콤마_2003년생협통계" xfId="11" xr:uid="{00000000-0005-0000-0000-00000C000000}"/>
    <cellStyle name="표준" xfId="0" builtinId="0"/>
    <cellStyle name="표준 2" xfId="12" xr:uid="{00000000-0005-0000-0000-00000E000000}"/>
    <cellStyle name="표준 3" xfId="13" xr:uid="{00000000-0005-0000-0000-00000F000000}"/>
    <cellStyle name="표준 3 2" xfId="17" xr:uid="{00000000-0005-0000-0000-000010000000}"/>
    <cellStyle name="표준 4" xfId="14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.%20&#44397;&#54924;\2020.02.06%20-%20&#44608;&#50689;&#52632;&#51032;&#50896;\2007%20&#51216;&#54252;&#49688;%20&#44060;&#48324;&#51077;&#49688;\&#44397;&#45236;,&#44397;&#50808;,&#53945;&#49688;&#51008;&#54665;,&#51613;&#44428;&#49888;&#53441;%20&#51216;&#54252;&#496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.%20&#44397;&#54924;\2020.02.06%20-%20&#44608;&#50689;&#52632;&#51032;&#50896;\2007%20&#51216;&#54252;&#49688;%20&#44060;&#48324;&#51077;&#49688;\&#49345;&#54840;&#44552;&#50997;&#51216;&#54252;&#4968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3(year)\&#49373;&#47749;&#48372;&#54744;%20&#49884;&#46020;&#48324;%20&#51216;&#54252;&#54788;&#54889;(2002&#45380;%20&#4756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7"/>
      <sheetName val="책자확정2006"/>
      <sheetName val="2005"/>
      <sheetName val="책자확정 (2)"/>
    </sheetNames>
    <sheetDataSet>
      <sheetData sheetId="0" refreshError="1">
        <row r="63">
          <cell r="C63">
            <v>438</v>
          </cell>
          <cell r="D63">
            <v>109</v>
          </cell>
          <cell r="E63">
            <v>68</v>
          </cell>
          <cell r="F63">
            <v>77</v>
          </cell>
          <cell r="G63">
            <v>43</v>
          </cell>
          <cell r="H63">
            <v>45</v>
          </cell>
          <cell r="I63">
            <v>33</v>
          </cell>
          <cell r="J63">
            <v>358</v>
          </cell>
          <cell r="K63">
            <v>74</v>
          </cell>
          <cell r="L63">
            <v>60</v>
          </cell>
          <cell r="M63">
            <v>71</v>
          </cell>
          <cell r="N63">
            <v>58</v>
          </cell>
          <cell r="O63">
            <v>77</v>
          </cell>
          <cell r="P63">
            <v>89</v>
          </cell>
          <cell r="Q63">
            <v>112</v>
          </cell>
          <cell r="R63">
            <v>25</v>
          </cell>
        </row>
        <row r="256">
          <cell r="C256">
            <v>2183</v>
          </cell>
          <cell r="D256">
            <v>487</v>
          </cell>
          <cell r="E256">
            <v>304</v>
          </cell>
          <cell r="F256">
            <v>225</v>
          </cell>
          <cell r="G256">
            <v>161</v>
          </cell>
          <cell r="H256">
            <v>154</v>
          </cell>
          <cell r="I256">
            <v>107</v>
          </cell>
          <cell r="J256">
            <v>974</v>
          </cell>
          <cell r="K256">
            <v>74</v>
          </cell>
          <cell r="L256">
            <v>77</v>
          </cell>
          <cell r="M256">
            <v>106</v>
          </cell>
          <cell r="N256">
            <v>138</v>
          </cell>
          <cell r="O256">
            <v>94</v>
          </cell>
          <cell r="P256">
            <v>158</v>
          </cell>
          <cell r="Q256">
            <v>235</v>
          </cell>
          <cell r="R256">
            <v>59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7상호금융점포"/>
    </sheetNames>
    <sheetDataSet>
      <sheetData sheetId="0" refreshError="1">
        <row r="14">
          <cell r="B14">
            <v>23</v>
          </cell>
          <cell r="C14">
            <v>24</v>
          </cell>
          <cell r="D14">
            <v>25</v>
          </cell>
          <cell r="E14">
            <v>26</v>
          </cell>
          <cell r="F14">
            <v>18</v>
          </cell>
          <cell r="G14">
            <v>16</v>
          </cell>
          <cell r="H14">
            <v>20</v>
          </cell>
          <cell r="I14">
            <v>178</v>
          </cell>
          <cell r="J14">
            <v>106</v>
          </cell>
          <cell r="K14">
            <v>83</v>
          </cell>
          <cell r="L14">
            <v>171</v>
          </cell>
          <cell r="M14">
            <v>117</v>
          </cell>
          <cell r="N14">
            <v>200</v>
          </cell>
          <cell r="O14">
            <v>203</v>
          </cell>
          <cell r="P14">
            <v>182</v>
          </cell>
          <cell r="Q14">
            <v>34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30">
          <cell r="B30">
            <v>1343</v>
          </cell>
          <cell r="C30">
            <v>440</v>
          </cell>
          <cell r="D30">
            <v>262</v>
          </cell>
          <cell r="E30">
            <v>234</v>
          </cell>
          <cell r="F30">
            <v>195</v>
          </cell>
          <cell r="G30">
            <v>145</v>
          </cell>
          <cell r="H30">
            <v>110</v>
          </cell>
          <cell r="I30">
            <v>790</v>
          </cell>
          <cell r="J30">
            <v>178</v>
          </cell>
          <cell r="K30">
            <v>167</v>
          </cell>
          <cell r="L30">
            <v>166</v>
          </cell>
          <cell r="M30">
            <v>235</v>
          </cell>
          <cell r="N30">
            <v>220</v>
          </cell>
          <cell r="O30">
            <v>257</v>
          </cell>
          <cell r="P30">
            <v>313</v>
          </cell>
          <cell r="Q30">
            <v>75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2"/>
  <sheetViews>
    <sheetView tabSelected="1" view="pageBreakPreview" zoomScaleNormal="100" zoomScaleSheetLayoutView="100" workbookViewId="0">
      <pane ySplit="5" topLeftCell="A6" activePane="bottomLeft" state="frozen"/>
      <selection pane="bottomLeft" activeCell="F11" sqref="F11"/>
    </sheetView>
  </sheetViews>
  <sheetFormatPr defaultColWidth="8.86328125" defaultRowHeight="15" x14ac:dyDescent="0.3"/>
  <cols>
    <col min="1" max="1" width="11.796875" style="83" customWidth="1"/>
    <col min="2" max="2" width="8.86328125" style="84"/>
    <col min="3" max="20" width="8.33203125" style="84" customWidth="1"/>
    <col min="21" max="16384" width="8.86328125" style="84"/>
  </cols>
  <sheetData>
    <row r="1" spans="1:46" x14ac:dyDescent="0.3">
      <c r="A1" s="83" t="s">
        <v>187</v>
      </c>
    </row>
    <row r="3" spans="1:46" ht="18" x14ac:dyDescent="0.3">
      <c r="A3" s="93" t="s">
        <v>181</v>
      </c>
    </row>
    <row r="4" spans="1:46" x14ac:dyDescent="0.3">
      <c r="T4" s="98" t="s">
        <v>183</v>
      </c>
    </row>
    <row r="5" spans="1:46" s="83" customFormat="1" ht="15" customHeight="1" x14ac:dyDescent="0.3">
      <c r="A5" s="85" t="s">
        <v>180</v>
      </c>
      <c r="B5" s="85" t="s">
        <v>151</v>
      </c>
      <c r="C5" s="85" t="s">
        <v>162</v>
      </c>
      <c r="D5" s="85" t="s">
        <v>163</v>
      </c>
      <c r="E5" s="85" t="s">
        <v>164</v>
      </c>
      <c r="F5" s="85" t="s">
        <v>165</v>
      </c>
      <c r="G5" s="85" t="s">
        <v>166</v>
      </c>
      <c r="H5" s="85" t="s">
        <v>167</v>
      </c>
      <c r="I5" s="85" t="s">
        <v>168</v>
      </c>
      <c r="J5" s="85" t="s">
        <v>169</v>
      </c>
      <c r="K5" s="85" t="s">
        <v>179</v>
      </c>
      <c r="L5" s="85" t="s">
        <v>170</v>
      </c>
      <c r="M5" s="85" t="s">
        <v>171</v>
      </c>
      <c r="N5" s="85" t="s">
        <v>172</v>
      </c>
      <c r="O5" s="85" t="s">
        <v>173</v>
      </c>
      <c r="P5" s="85" t="s">
        <v>174</v>
      </c>
      <c r="Q5" s="85" t="s">
        <v>175</v>
      </c>
      <c r="R5" s="85" t="s">
        <v>176</v>
      </c>
      <c r="S5" s="85" t="s">
        <v>177</v>
      </c>
      <c r="T5" s="85" t="s">
        <v>178</v>
      </c>
    </row>
    <row r="6" spans="1:46" ht="15" customHeight="1" x14ac:dyDescent="0.3">
      <c r="A6" s="86" t="s">
        <v>152</v>
      </c>
      <c r="B6" s="87">
        <v>2011</v>
      </c>
      <c r="C6" s="94">
        <f t="shared" ref="C6:C29" si="0">SUM(D6:T6)</f>
        <v>5665</v>
      </c>
      <c r="D6" s="94">
        <v>2162</v>
      </c>
      <c r="E6" s="94">
        <v>501</v>
      </c>
      <c r="F6" s="94">
        <v>324</v>
      </c>
      <c r="G6" s="94">
        <v>234</v>
      </c>
      <c r="H6" s="94">
        <v>171</v>
      </c>
      <c r="I6" s="94">
        <v>155</v>
      </c>
      <c r="J6" s="94">
        <v>106</v>
      </c>
      <c r="K6" s="100"/>
      <c r="L6" s="94">
        <v>1038</v>
      </c>
      <c r="M6" s="94">
        <v>68</v>
      </c>
      <c r="N6" s="94">
        <v>82</v>
      </c>
      <c r="O6" s="94">
        <v>112</v>
      </c>
      <c r="P6" s="94">
        <v>149</v>
      </c>
      <c r="Q6" s="94">
        <v>104</v>
      </c>
      <c r="R6" s="94">
        <v>168</v>
      </c>
      <c r="S6" s="94">
        <v>237</v>
      </c>
      <c r="T6" s="94">
        <v>54</v>
      </c>
    </row>
    <row r="7" spans="1:46" ht="15" customHeight="1" x14ac:dyDescent="0.3">
      <c r="A7" s="86" t="s">
        <v>152</v>
      </c>
      <c r="B7" s="87">
        <v>2012</v>
      </c>
      <c r="C7" s="94">
        <f t="shared" si="0"/>
        <v>5736</v>
      </c>
      <c r="D7" s="94">
        <v>2157</v>
      </c>
      <c r="E7" s="94">
        <v>509</v>
      </c>
      <c r="F7" s="94">
        <v>330</v>
      </c>
      <c r="G7" s="94">
        <v>238</v>
      </c>
      <c r="H7" s="94">
        <v>173</v>
      </c>
      <c r="I7" s="94">
        <v>159</v>
      </c>
      <c r="J7" s="94">
        <v>106</v>
      </c>
      <c r="K7" s="94">
        <v>9</v>
      </c>
      <c r="L7" s="94">
        <v>1052</v>
      </c>
      <c r="M7" s="94">
        <v>71</v>
      </c>
      <c r="N7" s="94">
        <v>87</v>
      </c>
      <c r="O7" s="94">
        <v>112</v>
      </c>
      <c r="P7" s="94">
        <v>152</v>
      </c>
      <c r="Q7" s="94">
        <v>105</v>
      </c>
      <c r="R7" s="94">
        <v>174</v>
      </c>
      <c r="S7" s="94">
        <v>246</v>
      </c>
      <c r="T7" s="94">
        <v>56</v>
      </c>
    </row>
    <row r="8" spans="1:46" ht="15" customHeight="1" x14ac:dyDescent="0.3">
      <c r="A8" s="86" t="s">
        <v>152</v>
      </c>
      <c r="B8" s="87">
        <v>2013</v>
      </c>
      <c r="C8" s="94">
        <f t="shared" si="0"/>
        <v>5682</v>
      </c>
      <c r="D8" s="94">
        <v>2104</v>
      </c>
      <c r="E8" s="94">
        <v>510</v>
      </c>
      <c r="F8" s="94">
        <v>334</v>
      </c>
      <c r="G8" s="94">
        <v>242</v>
      </c>
      <c r="H8" s="94">
        <v>172</v>
      </c>
      <c r="I8" s="94">
        <v>160</v>
      </c>
      <c r="J8" s="94">
        <v>107</v>
      </c>
      <c r="K8" s="94">
        <v>11</v>
      </c>
      <c r="L8" s="94">
        <v>1036</v>
      </c>
      <c r="M8" s="94">
        <v>70</v>
      </c>
      <c r="N8" s="94">
        <v>88</v>
      </c>
      <c r="O8" s="94">
        <v>112</v>
      </c>
      <c r="P8" s="94">
        <v>147</v>
      </c>
      <c r="Q8" s="94">
        <v>104</v>
      </c>
      <c r="R8" s="94">
        <v>175</v>
      </c>
      <c r="S8" s="94">
        <v>253</v>
      </c>
      <c r="T8" s="94">
        <v>57</v>
      </c>
    </row>
    <row r="9" spans="1:46" ht="15" customHeight="1" x14ac:dyDescent="0.3">
      <c r="A9" s="86" t="s">
        <v>152</v>
      </c>
      <c r="B9" s="87">
        <v>2014</v>
      </c>
      <c r="C9" s="94">
        <f t="shared" si="0"/>
        <v>5435</v>
      </c>
      <c r="D9" s="94">
        <v>1968</v>
      </c>
      <c r="E9" s="94">
        <v>499</v>
      </c>
      <c r="F9" s="94">
        <v>328</v>
      </c>
      <c r="G9" s="94">
        <v>225</v>
      </c>
      <c r="H9" s="94">
        <v>166</v>
      </c>
      <c r="I9" s="94">
        <v>156</v>
      </c>
      <c r="J9" s="94">
        <v>107</v>
      </c>
      <c r="K9" s="94">
        <v>16</v>
      </c>
      <c r="L9" s="94">
        <v>977</v>
      </c>
      <c r="M9" s="94">
        <v>67</v>
      </c>
      <c r="N9" s="94">
        <v>90</v>
      </c>
      <c r="O9" s="94">
        <v>108</v>
      </c>
      <c r="P9" s="94">
        <v>139</v>
      </c>
      <c r="Q9" s="94">
        <v>107</v>
      </c>
      <c r="R9" s="94">
        <v>178</v>
      </c>
      <c r="S9" s="94">
        <v>251</v>
      </c>
      <c r="T9" s="94">
        <v>53</v>
      </c>
    </row>
    <row r="10" spans="1:46" ht="15" customHeight="1" x14ac:dyDescent="0.3">
      <c r="A10" s="101" t="s">
        <v>152</v>
      </c>
      <c r="B10" s="102">
        <v>2015</v>
      </c>
      <c r="C10" s="103">
        <f t="shared" si="0"/>
        <v>5324</v>
      </c>
      <c r="D10" s="103">
        <v>1907</v>
      </c>
      <c r="E10" s="103">
        <v>488</v>
      </c>
      <c r="F10" s="103">
        <v>321</v>
      </c>
      <c r="G10" s="103">
        <v>227</v>
      </c>
      <c r="H10" s="103">
        <v>145</v>
      </c>
      <c r="I10" s="103">
        <v>152</v>
      </c>
      <c r="J10" s="103">
        <v>107</v>
      </c>
      <c r="K10" s="103">
        <v>19</v>
      </c>
      <c r="L10" s="103">
        <v>962</v>
      </c>
      <c r="M10" s="103">
        <v>71</v>
      </c>
      <c r="N10" s="103">
        <v>87</v>
      </c>
      <c r="O10" s="103">
        <v>109</v>
      </c>
      <c r="P10" s="103">
        <v>140</v>
      </c>
      <c r="Q10" s="103">
        <v>96</v>
      </c>
      <c r="R10" s="103">
        <v>179</v>
      </c>
      <c r="S10" s="103">
        <v>259</v>
      </c>
      <c r="T10" s="103">
        <v>55</v>
      </c>
    </row>
    <row r="11" spans="1:46" ht="15" customHeight="1" x14ac:dyDescent="0.3">
      <c r="A11" s="86" t="s">
        <v>152</v>
      </c>
      <c r="B11" s="87">
        <v>2016</v>
      </c>
      <c r="C11" s="94">
        <f t="shared" si="0"/>
        <v>5160</v>
      </c>
      <c r="D11" s="94">
        <v>1822</v>
      </c>
      <c r="E11" s="94">
        <v>475</v>
      </c>
      <c r="F11" s="94">
        <v>318</v>
      </c>
      <c r="G11" s="94">
        <v>223</v>
      </c>
      <c r="H11" s="94">
        <v>143</v>
      </c>
      <c r="I11" s="94">
        <v>146</v>
      </c>
      <c r="J11" s="94">
        <v>101</v>
      </c>
      <c r="K11" s="94">
        <v>21</v>
      </c>
      <c r="L11" s="94">
        <v>932</v>
      </c>
      <c r="M11" s="94">
        <v>67</v>
      </c>
      <c r="N11" s="94">
        <v>80</v>
      </c>
      <c r="O11" s="94">
        <v>106</v>
      </c>
      <c r="P11" s="94">
        <v>138</v>
      </c>
      <c r="Q11" s="94">
        <v>96</v>
      </c>
      <c r="R11" s="94">
        <v>179</v>
      </c>
      <c r="S11" s="94">
        <v>257</v>
      </c>
      <c r="T11" s="94">
        <v>56</v>
      </c>
    </row>
    <row r="12" spans="1:46" ht="15" customHeight="1" x14ac:dyDescent="0.3">
      <c r="A12" s="86" t="s">
        <v>152</v>
      </c>
      <c r="B12" s="87">
        <v>2017</v>
      </c>
      <c r="C12" s="94">
        <f t="shared" si="0"/>
        <v>4860</v>
      </c>
      <c r="D12" s="94">
        <f>1698-2</f>
        <v>1696</v>
      </c>
      <c r="E12" s="94">
        <v>460</v>
      </c>
      <c r="F12" s="94">
        <v>297</v>
      </c>
      <c r="G12" s="94">
        <v>209</v>
      </c>
      <c r="H12" s="94">
        <v>137</v>
      </c>
      <c r="I12" s="94">
        <v>137</v>
      </c>
      <c r="J12" s="94">
        <v>101</v>
      </c>
      <c r="K12" s="94">
        <v>22</v>
      </c>
      <c r="L12" s="94">
        <v>860</v>
      </c>
      <c r="M12" s="94">
        <v>65</v>
      </c>
      <c r="N12" s="94">
        <v>77</v>
      </c>
      <c r="O12" s="94">
        <v>99</v>
      </c>
      <c r="P12" s="94">
        <v>129</v>
      </c>
      <c r="Q12" s="94">
        <v>93</v>
      </c>
      <c r="R12" s="94">
        <v>174</v>
      </c>
      <c r="S12" s="94">
        <v>247</v>
      </c>
      <c r="T12" s="94">
        <v>57</v>
      </c>
    </row>
    <row r="13" spans="1:46" ht="15" customHeight="1" x14ac:dyDescent="0.3">
      <c r="A13" s="86" t="s">
        <v>152</v>
      </c>
      <c r="B13" s="87">
        <v>2018</v>
      </c>
      <c r="C13" s="94">
        <f t="shared" si="0"/>
        <v>4816</v>
      </c>
      <c r="D13" s="94">
        <v>1682</v>
      </c>
      <c r="E13" s="94">
        <v>451</v>
      </c>
      <c r="F13" s="94">
        <v>289</v>
      </c>
      <c r="G13" s="94">
        <v>213</v>
      </c>
      <c r="H13" s="94">
        <v>138</v>
      </c>
      <c r="I13" s="94">
        <v>131</v>
      </c>
      <c r="J13" s="94">
        <v>100</v>
      </c>
      <c r="K13" s="94">
        <v>23</v>
      </c>
      <c r="L13" s="94">
        <v>860</v>
      </c>
      <c r="M13" s="94">
        <v>65</v>
      </c>
      <c r="N13" s="94">
        <v>77</v>
      </c>
      <c r="O13" s="94">
        <v>99</v>
      </c>
      <c r="P13" s="94">
        <v>128</v>
      </c>
      <c r="Q13" s="94">
        <v>91</v>
      </c>
      <c r="R13" s="94">
        <v>170</v>
      </c>
      <c r="S13" s="94">
        <v>242</v>
      </c>
      <c r="T13" s="94">
        <v>57</v>
      </c>
    </row>
    <row r="14" spans="1:46" ht="15" customHeight="1" x14ac:dyDescent="0.3">
      <c r="A14" s="86" t="s">
        <v>152</v>
      </c>
      <c r="B14" s="87">
        <v>2019</v>
      </c>
      <c r="C14" s="94">
        <f t="shared" si="0"/>
        <v>4774</v>
      </c>
      <c r="D14" s="94">
        <v>1657</v>
      </c>
      <c r="E14" s="94">
        <v>448</v>
      </c>
      <c r="F14" s="94">
        <v>284</v>
      </c>
      <c r="G14" s="94">
        <v>210</v>
      </c>
      <c r="H14" s="94">
        <v>138</v>
      </c>
      <c r="I14" s="94">
        <v>130</v>
      </c>
      <c r="J14" s="94">
        <v>100</v>
      </c>
      <c r="K14" s="94">
        <v>23</v>
      </c>
      <c r="L14" s="94">
        <v>856</v>
      </c>
      <c r="M14" s="94">
        <v>65</v>
      </c>
      <c r="N14" s="94">
        <v>77</v>
      </c>
      <c r="O14" s="94">
        <v>98</v>
      </c>
      <c r="P14" s="94">
        <v>131</v>
      </c>
      <c r="Q14" s="94">
        <v>93</v>
      </c>
      <c r="R14" s="94">
        <v>166</v>
      </c>
      <c r="S14" s="94">
        <v>240</v>
      </c>
      <c r="T14" s="94">
        <v>58</v>
      </c>
    </row>
    <row r="15" spans="1:46" ht="15" customHeight="1" x14ac:dyDescent="0.3">
      <c r="A15" s="119" t="s">
        <v>152</v>
      </c>
      <c r="B15" s="120">
        <v>2020</v>
      </c>
      <c r="C15" s="121">
        <f t="shared" si="0"/>
        <v>4492</v>
      </c>
      <c r="D15" s="121">
        <v>1556</v>
      </c>
      <c r="E15" s="121">
        <v>408</v>
      </c>
      <c r="F15" s="121">
        <v>268</v>
      </c>
      <c r="G15" s="121">
        <v>197</v>
      </c>
      <c r="H15" s="121">
        <v>133</v>
      </c>
      <c r="I15" s="121">
        <v>117</v>
      </c>
      <c r="J15" s="121">
        <v>91</v>
      </c>
      <c r="K15" s="121">
        <v>21</v>
      </c>
      <c r="L15" s="121">
        <v>815</v>
      </c>
      <c r="M15" s="121">
        <v>65</v>
      </c>
      <c r="N15" s="121">
        <v>75</v>
      </c>
      <c r="O15" s="121">
        <v>94</v>
      </c>
      <c r="P15" s="121">
        <v>128</v>
      </c>
      <c r="Q15" s="121">
        <v>93</v>
      </c>
      <c r="R15" s="121">
        <v>157</v>
      </c>
      <c r="S15" s="121">
        <v>220</v>
      </c>
      <c r="T15" s="122">
        <v>54</v>
      </c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</row>
    <row r="16" spans="1:46" s="104" customFormat="1" ht="15" customHeight="1" x14ac:dyDescent="0.3">
      <c r="A16" s="86" t="s">
        <v>152</v>
      </c>
      <c r="B16" s="87">
        <v>2021</v>
      </c>
      <c r="C16" s="94">
        <v>4206</v>
      </c>
      <c r="D16" s="94">
        <v>1459</v>
      </c>
      <c r="E16" s="94">
        <v>379</v>
      </c>
      <c r="F16" s="94">
        <v>248</v>
      </c>
      <c r="G16" s="94">
        <v>185</v>
      </c>
      <c r="H16" s="94">
        <v>130</v>
      </c>
      <c r="I16" s="94">
        <v>110</v>
      </c>
      <c r="J16" s="94">
        <v>85</v>
      </c>
      <c r="K16" s="94">
        <v>21</v>
      </c>
      <c r="L16" s="94">
        <v>760</v>
      </c>
      <c r="M16" s="94">
        <v>63</v>
      </c>
      <c r="N16" s="94">
        <v>72</v>
      </c>
      <c r="O16" s="94">
        <v>89</v>
      </c>
      <c r="P16" s="94">
        <v>125</v>
      </c>
      <c r="Q16" s="94">
        <v>88</v>
      </c>
      <c r="R16" s="94">
        <v>145</v>
      </c>
      <c r="S16" s="94">
        <v>199</v>
      </c>
      <c r="T16" s="113">
        <v>48</v>
      </c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</row>
    <row r="17" spans="1:46" s="116" customFormat="1" ht="15" customHeight="1" x14ac:dyDescent="0.3">
      <c r="A17" s="105" t="s">
        <v>152</v>
      </c>
      <c r="B17" s="106">
        <v>2022</v>
      </c>
      <c r="C17" s="107">
        <f>SUM(D17:T17)</f>
        <v>3929</v>
      </c>
      <c r="D17" s="107">
        <v>1356</v>
      </c>
      <c r="E17" s="107">
        <v>364</v>
      </c>
      <c r="F17" s="107">
        <v>223</v>
      </c>
      <c r="G17" s="107">
        <v>177</v>
      </c>
      <c r="H17" s="107">
        <v>121</v>
      </c>
      <c r="I17" s="107">
        <v>108</v>
      </c>
      <c r="J17" s="107">
        <v>80</v>
      </c>
      <c r="K17" s="107">
        <v>21</v>
      </c>
      <c r="L17" s="107">
        <v>706</v>
      </c>
      <c r="M17" s="107">
        <v>59</v>
      </c>
      <c r="N17" s="107">
        <v>68</v>
      </c>
      <c r="O17" s="107">
        <v>81</v>
      </c>
      <c r="P17" s="107">
        <v>117</v>
      </c>
      <c r="Q17" s="107">
        <v>81</v>
      </c>
      <c r="R17" s="107">
        <v>136</v>
      </c>
      <c r="S17" s="107">
        <v>183</v>
      </c>
      <c r="T17" s="112">
        <v>48</v>
      </c>
    </row>
    <row r="18" spans="1:46" s="116" customFormat="1" ht="15" customHeight="1" x14ac:dyDescent="0.3">
      <c r="A18" s="105" t="s">
        <v>152</v>
      </c>
      <c r="B18" s="106">
        <v>2023</v>
      </c>
      <c r="C18" s="107">
        <f>SUM(D18:T18)</f>
        <v>3876</v>
      </c>
      <c r="D18" s="107">
        <v>1318</v>
      </c>
      <c r="E18" s="107">
        <v>361</v>
      </c>
      <c r="F18" s="107">
        <v>217</v>
      </c>
      <c r="G18" s="107">
        <v>175</v>
      </c>
      <c r="H18" s="107">
        <v>121</v>
      </c>
      <c r="I18" s="107">
        <v>106</v>
      </c>
      <c r="J18" s="107">
        <v>85</v>
      </c>
      <c r="K18" s="107">
        <v>21</v>
      </c>
      <c r="L18" s="107">
        <v>698</v>
      </c>
      <c r="M18" s="107">
        <v>59</v>
      </c>
      <c r="N18" s="107">
        <v>65</v>
      </c>
      <c r="O18" s="107">
        <v>81</v>
      </c>
      <c r="P18" s="107">
        <v>114</v>
      </c>
      <c r="Q18" s="107">
        <v>75</v>
      </c>
      <c r="R18" s="107">
        <v>132</v>
      </c>
      <c r="S18" s="107">
        <v>201</v>
      </c>
      <c r="T18" s="112">
        <v>47</v>
      </c>
    </row>
    <row r="19" spans="1:46" s="116" customFormat="1" ht="15" customHeight="1" x14ac:dyDescent="0.3">
      <c r="A19" s="123" t="s">
        <v>152</v>
      </c>
      <c r="B19" s="124">
        <v>2024</v>
      </c>
      <c r="C19" s="125">
        <f>SUM(D19:T19)</f>
        <v>3797</v>
      </c>
      <c r="D19" s="125">
        <v>1267</v>
      </c>
      <c r="E19" s="125">
        <v>356</v>
      </c>
      <c r="F19" s="125">
        <v>213</v>
      </c>
      <c r="G19" s="125">
        <v>175</v>
      </c>
      <c r="H19" s="125">
        <v>118</v>
      </c>
      <c r="I19" s="125">
        <v>105</v>
      </c>
      <c r="J19" s="125">
        <v>85</v>
      </c>
      <c r="K19" s="125">
        <v>21</v>
      </c>
      <c r="L19" s="125">
        <v>689</v>
      </c>
      <c r="M19" s="125">
        <v>60</v>
      </c>
      <c r="N19" s="125">
        <v>64</v>
      </c>
      <c r="O19" s="125">
        <v>80</v>
      </c>
      <c r="P19" s="125">
        <v>112</v>
      </c>
      <c r="Q19" s="125">
        <v>75</v>
      </c>
      <c r="R19" s="125">
        <v>132</v>
      </c>
      <c r="S19" s="125">
        <v>199</v>
      </c>
      <c r="T19" s="126">
        <v>46</v>
      </c>
    </row>
    <row r="20" spans="1:46" ht="15" customHeight="1" x14ac:dyDescent="0.3">
      <c r="A20" s="105" t="s">
        <v>153</v>
      </c>
      <c r="B20" s="106">
        <v>2011</v>
      </c>
      <c r="C20" s="107">
        <f t="shared" si="0"/>
        <v>1958</v>
      </c>
      <c r="D20" s="107">
        <v>498</v>
      </c>
      <c r="E20" s="107">
        <v>115</v>
      </c>
      <c r="F20" s="107">
        <v>76</v>
      </c>
      <c r="G20" s="107">
        <v>83</v>
      </c>
      <c r="H20" s="107">
        <v>50</v>
      </c>
      <c r="I20" s="107">
        <v>48</v>
      </c>
      <c r="J20" s="107">
        <v>40</v>
      </c>
      <c r="K20" s="108"/>
      <c r="L20" s="107">
        <v>424</v>
      </c>
      <c r="M20" s="107">
        <v>75</v>
      </c>
      <c r="N20" s="107">
        <v>64</v>
      </c>
      <c r="O20" s="107">
        <v>86</v>
      </c>
      <c r="P20" s="107">
        <v>67</v>
      </c>
      <c r="Q20" s="107">
        <v>78</v>
      </c>
      <c r="R20" s="107">
        <v>100</v>
      </c>
      <c r="S20" s="107">
        <v>127</v>
      </c>
      <c r="T20" s="112">
        <v>27</v>
      </c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</row>
    <row r="21" spans="1:46" ht="15" customHeight="1" x14ac:dyDescent="0.3">
      <c r="A21" s="86" t="s">
        <v>153</v>
      </c>
      <c r="B21" s="87">
        <v>2012</v>
      </c>
      <c r="C21" s="94">
        <f t="shared" si="0"/>
        <v>2011</v>
      </c>
      <c r="D21" s="94">
        <v>513</v>
      </c>
      <c r="E21" s="94">
        <v>122</v>
      </c>
      <c r="F21" s="94">
        <v>77</v>
      </c>
      <c r="G21" s="94">
        <v>85</v>
      </c>
      <c r="H21" s="94">
        <v>51</v>
      </c>
      <c r="I21" s="94">
        <v>48</v>
      </c>
      <c r="J21" s="94">
        <v>42</v>
      </c>
      <c r="K21" s="94">
        <v>8</v>
      </c>
      <c r="L21" s="94">
        <v>433</v>
      </c>
      <c r="M21" s="94">
        <v>75</v>
      </c>
      <c r="N21" s="94">
        <v>65</v>
      </c>
      <c r="O21" s="94">
        <v>85</v>
      </c>
      <c r="P21" s="94">
        <v>68</v>
      </c>
      <c r="Q21" s="94">
        <v>78</v>
      </c>
      <c r="R21" s="94">
        <v>102</v>
      </c>
      <c r="S21" s="94">
        <v>131</v>
      </c>
      <c r="T21" s="113">
        <v>28</v>
      </c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</row>
    <row r="22" spans="1:46" ht="15" customHeight="1" x14ac:dyDescent="0.3">
      <c r="A22" s="86" t="s">
        <v>153</v>
      </c>
      <c r="B22" s="87">
        <v>2013</v>
      </c>
      <c r="C22" s="94">
        <f t="shared" si="0"/>
        <v>2019</v>
      </c>
      <c r="D22" s="94">
        <v>515</v>
      </c>
      <c r="E22" s="94">
        <v>120</v>
      </c>
      <c r="F22" s="94">
        <v>77</v>
      </c>
      <c r="G22" s="94">
        <v>89</v>
      </c>
      <c r="H22" s="94">
        <v>49</v>
      </c>
      <c r="I22" s="94">
        <v>44</v>
      </c>
      <c r="J22" s="94">
        <v>42</v>
      </c>
      <c r="K22" s="94">
        <v>13</v>
      </c>
      <c r="L22" s="94">
        <v>435</v>
      </c>
      <c r="M22" s="94">
        <v>76</v>
      </c>
      <c r="N22" s="94">
        <v>64</v>
      </c>
      <c r="O22" s="94">
        <v>86</v>
      </c>
      <c r="P22" s="94">
        <v>69</v>
      </c>
      <c r="Q22" s="94">
        <v>79</v>
      </c>
      <c r="R22" s="94">
        <v>103</v>
      </c>
      <c r="S22" s="94">
        <v>130</v>
      </c>
      <c r="T22" s="113">
        <v>28</v>
      </c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</row>
    <row r="23" spans="1:46" ht="15" customHeight="1" x14ac:dyDescent="0.3">
      <c r="A23" s="86" t="s">
        <v>153</v>
      </c>
      <c r="B23" s="87">
        <v>2014</v>
      </c>
      <c r="C23" s="94">
        <f t="shared" si="0"/>
        <v>1998</v>
      </c>
      <c r="D23" s="94">
        <v>505</v>
      </c>
      <c r="E23" s="94">
        <v>118</v>
      </c>
      <c r="F23" s="94">
        <v>79</v>
      </c>
      <c r="G23" s="94">
        <v>88</v>
      </c>
      <c r="H23" s="94">
        <v>48</v>
      </c>
      <c r="I23" s="94">
        <v>44</v>
      </c>
      <c r="J23" s="94">
        <v>41</v>
      </c>
      <c r="K23" s="94">
        <v>18</v>
      </c>
      <c r="L23" s="94">
        <v>430</v>
      </c>
      <c r="M23" s="94">
        <v>73</v>
      </c>
      <c r="N23" s="94">
        <v>64</v>
      </c>
      <c r="O23" s="94">
        <v>86</v>
      </c>
      <c r="P23" s="94">
        <v>67</v>
      </c>
      <c r="Q23" s="94">
        <v>81</v>
      </c>
      <c r="R23" s="94">
        <v>100</v>
      </c>
      <c r="S23" s="94">
        <v>129</v>
      </c>
      <c r="T23" s="113">
        <v>27</v>
      </c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</row>
    <row r="24" spans="1:46" ht="15" customHeight="1" x14ac:dyDescent="0.3">
      <c r="A24" s="101" t="s">
        <v>153</v>
      </c>
      <c r="B24" s="102">
        <v>2015</v>
      </c>
      <c r="C24" s="103">
        <f t="shared" si="0"/>
        <v>1989</v>
      </c>
      <c r="D24" s="103">
        <v>491</v>
      </c>
      <c r="E24" s="103">
        <v>115</v>
      </c>
      <c r="F24" s="103">
        <v>78</v>
      </c>
      <c r="G24" s="103">
        <v>88</v>
      </c>
      <c r="H24" s="103">
        <v>47</v>
      </c>
      <c r="I24" s="103">
        <v>44</v>
      </c>
      <c r="J24" s="103">
        <v>42</v>
      </c>
      <c r="K24" s="103">
        <v>21</v>
      </c>
      <c r="L24" s="103">
        <v>429</v>
      </c>
      <c r="M24" s="103">
        <v>75</v>
      </c>
      <c r="N24" s="103">
        <v>64</v>
      </c>
      <c r="O24" s="103">
        <v>86</v>
      </c>
      <c r="P24" s="103">
        <v>67</v>
      </c>
      <c r="Q24" s="103">
        <v>82</v>
      </c>
      <c r="R24" s="103">
        <v>102</v>
      </c>
      <c r="S24" s="103">
        <v>130</v>
      </c>
      <c r="T24" s="114">
        <v>28</v>
      </c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</row>
    <row r="25" spans="1:46" ht="15" customHeight="1" x14ac:dyDescent="0.3">
      <c r="A25" s="86" t="s">
        <v>153</v>
      </c>
      <c r="B25" s="87">
        <v>2016</v>
      </c>
      <c r="C25" s="94">
        <f t="shared" si="0"/>
        <v>1976</v>
      </c>
      <c r="D25" s="94">
        <v>471</v>
      </c>
      <c r="E25" s="94">
        <v>115</v>
      </c>
      <c r="F25" s="94">
        <v>76</v>
      </c>
      <c r="G25" s="94">
        <v>88</v>
      </c>
      <c r="H25" s="94">
        <v>48</v>
      </c>
      <c r="I25" s="94">
        <v>45</v>
      </c>
      <c r="J25" s="94">
        <v>42</v>
      </c>
      <c r="K25" s="94">
        <v>21</v>
      </c>
      <c r="L25" s="94">
        <v>429</v>
      </c>
      <c r="M25" s="94">
        <v>76</v>
      </c>
      <c r="N25" s="94">
        <v>65</v>
      </c>
      <c r="O25" s="94">
        <v>87</v>
      </c>
      <c r="P25" s="94">
        <v>67</v>
      </c>
      <c r="Q25" s="94">
        <v>82</v>
      </c>
      <c r="R25" s="94">
        <v>105</v>
      </c>
      <c r="S25" s="94">
        <v>131</v>
      </c>
      <c r="T25" s="113">
        <v>28</v>
      </c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</row>
    <row r="26" spans="1:46" ht="15" customHeight="1" x14ac:dyDescent="0.3">
      <c r="A26" s="86" t="s">
        <v>153</v>
      </c>
      <c r="B26" s="87">
        <v>2017</v>
      </c>
      <c r="C26" s="94">
        <f t="shared" si="0"/>
        <v>1962</v>
      </c>
      <c r="D26" s="94">
        <v>461</v>
      </c>
      <c r="E26" s="94">
        <v>113</v>
      </c>
      <c r="F26" s="94">
        <v>75</v>
      </c>
      <c r="G26" s="94">
        <v>89</v>
      </c>
      <c r="H26" s="94">
        <v>49</v>
      </c>
      <c r="I26" s="94">
        <v>44</v>
      </c>
      <c r="J26" s="94">
        <v>42</v>
      </c>
      <c r="K26" s="94">
        <v>21</v>
      </c>
      <c r="L26" s="94">
        <v>428</v>
      </c>
      <c r="M26" s="94">
        <v>76</v>
      </c>
      <c r="N26" s="94">
        <v>65</v>
      </c>
      <c r="O26" s="94">
        <v>87</v>
      </c>
      <c r="P26" s="94">
        <v>66</v>
      </c>
      <c r="Q26" s="94">
        <v>82</v>
      </c>
      <c r="R26" s="94">
        <v>105</v>
      </c>
      <c r="S26" s="94">
        <v>131</v>
      </c>
      <c r="T26" s="113">
        <v>28</v>
      </c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</row>
    <row r="27" spans="1:46" ht="15" customHeight="1" x14ac:dyDescent="0.3">
      <c r="A27" s="86" t="s">
        <v>153</v>
      </c>
      <c r="B27" s="87">
        <v>2018</v>
      </c>
      <c r="C27" s="94">
        <f t="shared" si="0"/>
        <v>1988</v>
      </c>
      <c r="D27" s="94">
        <v>460</v>
      </c>
      <c r="E27" s="94">
        <v>119</v>
      </c>
      <c r="F27" s="94">
        <v>78</v>
      </c>
      <c r="G27" s="94">
        <v>93</v>
      </c>
      <c r="H27" s="94">
        <v>50</v>
      </c>
      <c r="I27" s="94">
        <v>44</v>
      </c>
      <c r="J27" s="94">
        <v>41</v>
      </c>
      <c r="K27" s="94">
        <v>20</v>
      </c>
      <c r="L27" s="94">
        <v>441</v>
      </c>
      <c r="M27" s="94">
        <v>75</v>
      </c>
      <c r="N27" s="94">
        <v>65</v>
      </c>
      <c r="O27" s="94">
        <v>87</v>
      </c>
      <c r="P27" s="94">
        <v>66</v>
      </c>
      <c r="Q27" s="94">
        <v>83</v>
      </c>
      <c r="R27" s="94">
        <v>103</v>
      </c>
      <c r="S27" s="94">
        <v>135</v>
      </c>
      <c r="T27" s="94">
        <v>28</v>
      </c>
    </row>
    <row r="28" spans="1:46" ht="15" customHeight="1" x14ac:dyDescent="0.3">
      <c r="A28" s="86" t="s">
        <v>153</v>
      </c>
      <c r="B28" s="87">
        <v>2019</v>
      </c>
      <c r="C28" s="94">
        <f t="shared" si="0"/>
        <v>1984</v>
      </c>
      <c r="D28" s="94">
        <v>448</v>
      </c>
      <c r="E28" s="94">
        <v>119</v>
      </c>
      <c r="F28" s="94">
        <v>77</v>
      </c>
      <c r="G28" s="94">
        <v>94</v>
      </c>
      <c r="H28" s="94">
        <v>50</v>
      </c>
      <c r="I28" s="94">
        <v>43</v>
      </c>
      <c r="J28" s="94">
        <v>41</v>
      </c>
      <c r="K28" s="94">
        <v>22</v>
      </c>
      <c r="L28" s="94">
        <v>448</v>
      </c>
      <c r="M28" s="94">
        <v>74</v>
      </c>
      <c r="N28" s="94">
        <v>65</v>
      </c>
      <c r="O28" s="94">
        <v>89</v>
      </c>
      <c r="P28" s="94">
        <v>66</v>
      </c>
      <c r="Q28" s="94">
        <v>83</v>
      </c>
      <c r="R28" s="94">
        <v>103</v>
      </c>
      <c r="S28" s="94">
        <v>134</v>
      </c>
      <c r="T28" s="94">
        <v>28</v>
      </c>
    </row>
    <row r="29" spans="1:46" ht="15" customHeight="1" x14ac:dyDescent="0.3">
      <c r="A29" s="101" t="s">
        <v>153</v>
      </c>
      <c r="B29" s="102">
        <v>2020</v>
      </c>
      <c r="C29" s="103">
        <f t="shared" si="0"/>
        <v>1962</v>
      </c>
      <c r="D29" s="103">
        <v>443</v>
      </c>
      <c r="E29" s="103">
        <v>120</v>
      </c>
      <c r="F29" s="103">
        <v>75</v>
      </c>
      <c r="G29" s="103">
        <v>92</v>
      </c>
      <c r="H29" s="103">
        <v>48</v>
      </c>
      <c r="I29" s="103">
        <v>43</v>
      </c>
      <c r="J29" s="103">
        <v>41</v>
      </c>
      <c r="K29" s="103">
        <v>22</v>
      </c>
      <c r="L29" s="103">
        <v>447</v>
      </c>
      <c r="M29" s="103">
        <v>72</v>
      </c>
      <c r="N29" s="103">
        <v>64</v>
      </c>
      <c r="O29" s="103">
        <v>88</v>
      </c>
      <c r="P29" s="103">
        <v>66</v>
      </c>
      <c r="Q29" s="103">
        <v>79</v>
      </c>
      <c r="R29" s="103">
        <v>101</v>
      </c>
      <c r="S29" s="103">
        <v>133</v>
      </c>
      <c r="T29" s="103">
        <v>28</v>
      </c>
    </row>
    <row r="30" spans="1:46" ht="15" customHeight="1" x14ac:dyDescent="0.3">
      <c r="A30" s="86" t="s">
        <v>153</v>
      </c>
      <c r="B30" s="87">
        <v>2021</v>
      </c>
      <c r="C30" s="94">
        <v>1938</v>
      </c>
      <c r="D30" s="94">
        <v>439</v>
      </c>
      <c r="E30" s="94">
        <v>116</v>
      </c>
      <c r="F30" s="94">
        <v>75</v>
      </c>
      <c r="G30" s="94">
        <v>91</v>
      </c>
      <c r="H30" s="94">
        <v>47</v>
      </c>
      <c r="I30" s="94">
        <v>42</v>
      </c>
      <c r="J30" s="94">
        <v>40</v>
      </c>
      <c r="K30" s="94">
        <v>23</v>
      </c>
      <c r="L30" s="94">
        <v>444</v>
      </c>
      <c r="M30" s="94">
        <v>71</v>
      </c>
      <c r="N30" s="94">
        <v>64</v>
      </c>
      <c r="O30" s="94">
        <v>86</v>
      </c>
      <c r="P30" s="94">
        <v>66</v>
      </c>
      <c r="Q30" s="94">
        <v>78</v>
      </c>
      <c r="R30" s="94">
        <v>99</v>
      </c>
      <c r="S30" s="94">
        <v>128</v>
      </c>
      <c r="T30" s="94">
        <v>29</v>
      </c>
    </row>
    <row r="31" spans="1:46" ht="15" customHeight="1" x14ac:dyDescent="0.3">
      <c r="A31" s="86" t="s">
        <v>153</v>
      </c>
      <c r="B31" s="87">
        <v>2022</v>
      </c>
      <c r="C31" s="94">
        <f>SUM(D31:T31)</f>
        <v>1919</v>
      </c>
      <c r="D31" s="94">
        <v>428</v>
      </c>
      <c r="E31" s="94">
        <v>113</v>
      </c>
      <c r="F31" s="94">
        <v>72</v>
      </c>
      <c r="G31" s="94">
        <v>91</v>
      </c>
      <c r="H31" s="94">
        <v>47</v>
      </c>
      <c r="I31" s="94">
        <v>42</v>
      </c>
      <c r="J31" s="94">
        <v>40</v>
      </c>
      <c r="K31" s="94">
        <v>23</v>
      </c>
      <c r="L31" s="94">
        <v>438</v>
      </c>
      <c r="M31" s="94">
        <v>73</v>
      </c>
      <c r="N31" s="94">
        <v>64</v>
      </c>
      <c r="O31" s="94">
        <v>87</v>
      </c>
      <c r="P31" s="94">
        <v>67</v>
      </c>
      <c r="Q31" s="94">
        <v>77</v>
      </c>
      <c r="R31" s="94">
        <v>101</v>
      </c>
      <c r="S31" s="94">
        <v>127</v>
      </c>
      <c r="T31" s="94">
        <v>29</v>
      </c>
    </row>
    <row r="32" spans="1:46" ht="15" customHeight="1" x14ac:dyDescent="0.3">
      <c r="A32" s="86" t="s">
        <v>153</v>
      </c>
      <c r="B32" s="87">
        <v>2023</v>
      </c>
      <c r="C32" s="94">
        <f>SUM(D32:T32)</f>
        <v>1918</v>
      </c>
      <c r="D32" s="94">
        <v>426</v>
      </c>
      <c r="E32" s="94">
        <v>112</v>
      </c>
      <c r="F32" s="94">
        <v>73</v>
      </c>
      <c r="G32" s="94">
        <v>92</v>
      </c>
      <c r="H32" s="94">
        <v>48</v>
      </c>
      <c r="I32" s="94">
        <v>41</v>
      </c>
      <c r="J32" s="94">
        <v>40</v>
      </c>
      <c r="K32" s="94">
        <v>23</v>
      </c>
      <c r="L32" s="94">
        <v>439</v>
      </c>
      <c r="M32" s="94">
        <v>73</v>
      </c>
      <c r="N32" s="94">
        <v>64</v>
      </c>
      <c r="O32" s="94">
        <v>87</v>
      </c>
      <c r="P32" s="94">
        <v>68</v>
      </c>
      <c r="Q32" s="94">
        <v>77</v>
      </c>
      <c r="R32" s="94">
        <v>99</v>
      </c>
      <c r="S32" s="94">
        <v>127</v>
      </c>
      <c r="T32" s="94">
        <v>29</v>
      </c>
    </row>
    <row r="33" spans="1:20" ht="15" customHeight="1" x14ac:dyDescent="0.3">
      <c r="A33" s="127" t="s">
        <v>153</v>
      </c>
      <c r="B33" s="128">
        <v>2024</v>
      </c>
      <c r="C33" s="129">
        <f>SUM(D33:T33)</f>
        <v>1886</v>
      </c>
      <c r="D33" s="129">
        <v>419</v>
      </c>
      <c r="E33" s="129">
        <v>109</v>
      </c>
      <c r="F33" s="129">
        <v>71</v>
      </c>
      <c r="G33" s="129">
        <v>92</v>
      </c>
      <c r="H33" s="129">
        <v>46</v>
      </c>
      <c r="I33" s="129">
        <v>39</v>
      </c>
      <c r="J33" s="129">
        <v>39</v>
      </c>
      <c r="K33" s="129">
        <v>22</v>
      </c>
      <c r="L33" s="129">
        <v>437</v>
      </c>
      <c r="M33" s="129">
        <v>72</v>
      </c>
      <c r="N33" s="129">
        <v>62</v>
      </c>
      <c r="O33" s="129">
        <v>86</v>
      </c>
      <c r="P33" s="129">
        <v>66</v>
      </c>
      <c r="Q33" s="129">
        <v>76</v>
      </c>
      <c r="R33" s="129">
        <v>97</v>
      </c>
      <c r="S33" s="129">
        <v>125</v>
      </c>
      <c r="T33" s="129">
        <v>28</v>
      </c>
    </row>
    <row r="35" spans="1:20" x14ac:dyDescent="0.3">
      <c r="A35" s="99" t="s">
        <v>184</v>
      </c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</row>
    <row r="36" spans="1:20" x14ac:dyDescent="0.3">
      <c r="A36" s="96" t="s">
        <v>189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</row>
    <row r="37" spans="1:20" x14ac:dyDescent="0.3">
      <c r="A37" s="96" t="s">
        <v>185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</row>
    <row r="38" spans="1:20" x14ac:dyDescent="0.3">
      <c r="A38" s="96" t="s">
        <v>188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</row>
    <row r="39" spans="1:20" ht="13.5" customHeight="1" x14ac:dyDescent="0.3">
      <c r="A39" s="90"/>
      <c r="C39" s="90"/>
      <c r="D39" s="90"/>
      <c r="E39" s="90"/>
      <c r="F39" s="90"/>
      <c r="G39" s="90"/>
      <c r="H39" s="90"/>
      <c r="I39" s="90"/>
      <c r="J39" s="90"/>
      <c r="K39" s="88"/>
      <c r="L39" s="90"/>
      <c r="M39" s="88"/>
      <c r="N39" s="88"/>
      <c r="O39" s="88"/>
      <c r="P39" s="88"/>
      <c r="Q39" s="88"/>
      <c r="R39" s="88"/>
      <c r="S39" s="88"/>
      <c r="T39" s="88"/>
    </row>
    <row r="40" spans="1:20" x14ac:dyDescent="0.3">
      <c r="A40" s="89"/>
      <c r="C40" s="91"/>
      <c r="D40" s="88"/>
      <c r="E40" s="88"/>
      <c r="F40" s="88"/>
      <c r="G40" s="88"/>
      <c r="H40" s="88"/>
      <c r="I40" s="88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</row>
    <row r="41" spans="1:20" s="92" customFormat="1" ht="15" customHeight="1" x14ac:dyDescent="0.3">
      <c r="A41" s="89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r="42" spans="1:20" s="92" customFormat="1" ht="15" customHeight="1" x14ac:dyDescent="0.3">
      <c r="A42" s="89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</row>
  </sheetData>
  <autoFilter ref="A5:T29" xr:uid="{00000000-0009-0000-0000-000000000000}"/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W137"/>
  <sheetViews>
    <sheetView view="pageBreakPreview" zoomScaleNormal="100" zoomScaleSheetLayoutView="100" workbookViewId="0">
      <pane ySplit="5" topLeftCell="A6" activePane="bottomLeft" state="frozen"/>
      <selection pane="bottomLeft" activeCell="B18" sqref="B18"/>
    </sheetView>
  </sheetViews>
  <sheetFormatPr defaultColWidth="8.86328125" defaultRowHeight="15" x14ac:dyDescent="0.3"/>
  <cols>
    <col min="1" max="1" width="17.1328125" style="83" customWidth="1"/>
    <col min="2" max="2" width="8.86328125" style="84"/>
    <col min="3" max="20" width="8.33203125" style="84" customWidth="1"/>
    <col min="21" max="16384" width="8.86328125" style="84"/>
  </cols>
  <sheetData>
    <row r="3" spans="1:49" ht="18" x14ac:dyDescent="0.3">
      <c r="A3" s="93" t="s">
        <v>182</v>
      </c>
    </row>
    <row r="4" spans="1:49" x14ac:dyDescent="0.3">
      <c r="T4" s="98" t="s">
        <v>183</v>
      </c>
    </row>
    <row r="5" spans="1:49" ht="15" customHeight="1" x14ac:dyDescent="0.3">
      <c r="A5" s="85" t="s">
        <v>180</v>
      </c>
      <c r="B5" s="85" t="s">
        <v>151</v>
      </c>
      <c r="C5" s="85" t="s">
        <v>162</v>
      </c>
      <c r="D5" s="85" t="s">
        <v>163</v>
      </c>
      <c r="E5" s="85" t="s">
        <v>164</v>
      </c>
      <c r="F5" s="85" t="s">
        <v>165</v>
      </c>
      <c r="G5" s="85" t="s">
        <v>166</v>
      </c>
      <c r="H5" s="85" t="s">
        <v>167</v>
      </c>
      <c r="I5" s="85" t="s">
        <v>168</v>
      </c>
      <c r="J5" s="85" t="s">
        <v>169</v>
      </c>
      <c r="K5" s="85" t="s">
        <v>179</v>
      </c>
      <c r="L5" s="85" t="s">
        <v>170</v>
      </c>
      <c r="M5" s="85" t="s">
        <v>171</v>
      </c>
      <c r="N5" s="85" t="s">
        <v>172</v>
      </c>
      <c r="O5" s="85" t="s">
        <v>173</v>
      </c>
      <c r="P5" s="85" t="s">
        <v>174</v>
      </c>
      <c r="Q5" s="85" t="s">
        <v>175</v>
      </c>
      <c r="R5" s="85" t="s">
        <v>176</v>
      </c>
      <c r="S5" s="85" t="s">
        <v>177</v>
      </c>
      <c r="T5" s="85" t="s">
        <v>178</v>
      </c>
    </row>
    <row r="6" spans="1:49" ht="15" customHeight="1" x14ac:dyDescent="0.3">
      <c r="A6" s="86" t="s">
        <v>154</v>
      </c>
      <c r="B6" s="87">
        <v>2011</v>
      </c>
      <c r="C6" s="94">
        <f t="shared" ref="C6:C49" si="0">SUM(D6:T6)</f>
        <v>8</v>
      </c>
      <c r="D6" s="94">
        <v>6</v>
      </c>
      <c r="E6" s="94">
        <v>0</v>
      </c>
      <c r="F6" s="94">
        <v>0</v>
      </c>
      <c r="G6" s="94">
        <v>0</v>
      </c>
      <c r="H6" s="94">
        <v>1</v>
      </c>
      <c r="I6" s="94">
        <v>0</v>
      </c>
      <c r="J6" s="94">
        <v>0</v>
      </c>
      <c r="K6" s="100"/>
      <c r="L6" s="94">
        <v>0</v>
      </c>
      <c r="M6" s="94">
        <v>0</v>
      </c>
      <c r="N6" s="94">
        <v>0</v>
      </c>
      <c r="O6" s="94">
        <v>0</v>
      </c>
      <c r="P6" s="94">
        <v>0</v>
      </c>
      <c r="Q6" s="94">
        <v>1</v>
      </c>
      <c r="R6" s="94">
        <v>0</v>
      </c>
      <c r="S6" s="94">
        <v>0</v>
      </c>
      <c r="T6" s="94">
        <v>0</v>
      </c>
    </row>
    <row r="7" spans="1:49" ht="15" customHeight="1" x14ac:dyDescent="0.3">
      <c r="A7" s="86" t="s">
        <v>154</v>
      </c>
      <c r="B7" s="87">
        <v>2012</v>
      </c>
      <c r="C7" s="94">
        <f t="shared" si="0"/>
        <v>8</v>
      </c>
      <c r="D7" s="94">
        <v>6</v>
      </c>
      <c r="E7" s="94">
        <v>0</v>
      </c>
      <c r="F7" s="94">
        <v>0</v>
      </c>
      <c r="G7" s="94">
        <v>0</v>
      </c>
      <c r="H7" s="94">
        <v>1</v>
      </c>
      <c r="I7" s="94">
        <v>0</v>
      </c>
      <c r="J7" s="94">
        <v>0</v>
      </c>
      <c r="K7" s="94">
        <v>0</v>
      </c>
      <c r="L7" s="94">
        <v>0</v>
      </c>
      <c r="M7" s="94">
        <v>0</v>
      </c>
      <c r="N7" s="94">
        <v>0</v>
      </c>
      <c r="O7" s="94">
        <v>0</v>
      </c>
      <c r="P7" s="94">
        <v>0</v>
      </c>
      <c r="Q7" s="94">
        <v>1</v>
      </c>
      <c r="R7" s="94">
        <v>0</v>
      </c>
      <c r="S7" s="94">
        <v>0</v>
      </c>
      <c r="T7" s="94">
        <v>0</v>
      </c>
    </row>
    <row r="8" spans="1:49" ht="15" customHeight="1" x14ac:dyDescent="0.3">
      <c r="A8" s="86" t="s">
        <v>154</v>
      </c>
      <c r="B8" s="87">
        <v>2013</v>
      </c>
      <c r="C8" s="94">
        <f t="shared" si="0"/>
        <v>8</v>
      </c>
      <c r="D8" s="94">
        <v>6</v>
      </c>
      <c r="E8" s="94">
        <v>0</v>
      </c>
      <c r="F8" s="94">
        <v>0</v>
      </c>
      <c r="G8" s="94">
        <v>0</v>
      </c>
      <c r="H8" s="94">
        <v>1</v>
      </c>
      <c r="I8" s="94">
        <v>0</v>
      </c>
      <c r="J8" s="94">
        <v>0</v>
      </c>
      <c r="K8" s="94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4">
        <v>1</v>
      </c>
      <c r="R8" s="94">
        <v>0</v>
      </c>
      <c r="S8" s="94">
        <v>0</v>
      </c>
      <c r="T8" s="94">
        <v>0</v>
      </c>
    </row>
    <row r="9" spans="1:49" ht="15" customHeight="1" x14ac:dyDescent="0.3">
      <c r="A9" s="86" t="s">
        <v>154</v>
      </c>
      <c r="B9" s="87">
        <v>2014</v>
      </c>
      <c r="C9" s="94">
        <f t="shared" si="0"/>
        <v>8</v>
      </c>
      <c r="D9" s="94">
        <v>6</v>
      </c>
      <c r="E9" s="94">
        <v>0</v>
      </c>
      <c r="F9" s="94">
        <v>0</v>
      </c>
      <c r="G9" s="94">
        <v>0</v>
      </c>
      <c r="H9" s="94">
        <v>1</v>
      </c>
      <c r="I9" s="94">
        <v>0</v>
      </c>
      <c r="J9" s="94">
        <v>0</v>
      </c>
      <c r="K9" s="94">
        <v>0</v>
      </c>
      <c r="L9" s="94">
        <v>0</v>
      </c>
      <c r="M9" s="94">
        <v>0</v>
      </c>
      <c r="N9" s="94">
        <v>0</v>
      </c>
      <c r="O9" s="94">
        <v>0</v>
      </c>
      <c r="P9" s="94">
        <v>0</v>
      </c>
      <c r="Q9" s="94">
        <v>1</v>
      </c>
      <c r="R9" s="94">
        <v>0</v>
      </c>
      <c r="S9" s="94">
        <v>0</v>
      </c>
      <c r="T9" s="94">
        <v>0</v>
      </c>
    </row>
    <row r="10" spans="1:49" ht="15" customHeight="1" x14ac:dyDescent="0.3">
      <c r="A10" s="101" t="s">
        <v>154</v>
      </c>
      <c r="B10" s="102">
        <v>2015</v>
      </c>
      <c r="C10" s="103">
        <f t="shared" si="0"/>
        <v>9</v>
      </c>
      <c r="D10" s="103">
        <v>6</v>
      </c>
      <c r="E10" s="103">
        <v>0</v>
      </c>
      <c r="F10" s="103">
        <v>0</v>
      </c>
      <c r="G10" s="103">
        <v>0</v>
      </c>
      <c r="H10" s="103">
        <v>1</v>
      </c>
      <c r="I10" s="103">
        <v>1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1</v>
      </c>
      <c r="R10" s="103">
        <v>0</v>
      </c>
      <c r="S10" s="103">
        <v>0</v>
      </c>
      <c r="T10" s="103">
        <v>0</v>
      </c>
    </row>
    <row r="11" spans="1:49" ht="15" customHeight="1" x14ac:dyDescent="0.3">
      <c r="A11" s="86" t="s">
        <v>154</v>
      </c>
      <c r="B11" s="87">
        <v>2016</v>
      </c>
      <c r="C11" s="94">
        <f t="shared" si="0"/>
        <v>9</v>
      </c>
      <c r="D11" s="94">
        <v>6</v>
      </c>
      <c r="E11" s="94">
        <v>0</v>
      </c>
      <c r="F11" s="94">
        <v>0</v>
      </c>
      <c r="G11" s="94">
        <v>0</v>
      </c>
      <c r="H11" s="94">
        <v>1</v>
      </c>
      <c r="I11" s="94">
        <v>1</v>
      </c>
      <c r="J11" s="94">
        <v>0</v>
      </c>
      <c r="K11" s="94">
        <v>0</v>
      </c>
      <c r="L11" s="94">
        <v>0</v>
      </c>
      <c r="M11" s="94">
        <v>0</v>
      </c>
      <c r="N11" s="94">
        <v>0</v>
      </c>
      <c r="O11" s="94">
        <v>0</v>
      </c>
      <c r="P11" s="94">
        <v>0</v>
      </c>
      <c r="Q11" s="94">
        <v>1</v>
      </c>
      <c r="R11" s="94">
        <v>0</v>
      </c>
      <c r="S11" s="94">
        <v>0</v>
      </c>
      <c r="T11" s="94">
        <v>0</v>
      </c>
    </row>
    <row r="12" spans="1:49" ht="15" customHeight="1" x14ac:dyDescent="0.3">
      <c r="A12" s="86" t="s">
        <v>154</v>
      </c>
      <c r="B12" s="87">
        <v>2017</v>
      </c>
      <c r="C12" s="94">
        <f t="shared" si="0"/>
        <v>9</v>
      </c>
      <c r="D12" s="94">
        <v>6</v>
      </c>
      <c r="E12" s="94">
        <v>0</v>
      </c>
      <c r="F12" s="94">
        <v>0</v>
      </c>
      <c r="G12" s="94">
        <v>0</v>
      </c>
      <c r="H12" s="94">
        <v>1</v>
      </c>
      <c r="I12" s="94">
        <v>1</v>
      </c>
      <c r="J12" s="94">
        <v>0</v>
      </c>
      <c r="K12" s="94">
        <v>0</v>
      </c>
      <c r="L12" s="94">
        <v>0</v>
      </c>
      <c r="M12" s="94">
        <v>0</v>
      </c>
      <c r="N12" s="94">
        <v>0</v>
      </c>
      <c r="O12" s="94">
        <v>0</v>
      </c>
      <c r="P12" s="94">
        <v>0</v>
      </c>
      <c r="Q12" s="94">
        <v>1</v>
      </c>
      <c r="R12" s="94">
        <v>0</v>
      </c>
      <c r="S12" s="94">
        <v>0</v>
      </c>
      <c r="T12" s="94">
        <v>0</v>
      </c>
    </row>
    <row r="13" spans="1:49" ht="15" customHeight="1" x14ac:dyDescent="0.3">
      <c r="A13" s="86" t="s">
        <v>154</v>
      </c>
      <c r="B13" s="87">
        <v>2018</v>
      </c>
      <c r="C13" s="94">
        <f t="shared" si="0"/>
        <v>8</v>
      </c>
      <c r="D13" s="94">
        <v>5</v>
      </c>
      <c r="E13" s="94">
        <v>0</v>
      </c>
      <c r="F13" s="94">
        <v>0</v>
      </c>
      <c r="G13" s="94">
        <v>0</v>
      </c>
      <c r="H13" s="94">
        <v>1</v>
      </c>
      <c r="I13" s="94">
        <v>1</v>
      </c>
      <c r="J13" s="94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4">
        <v>1</v>
      </c>
      <c r="R13" s="94">
        <v>0</v>
      </c>
      <c r="S13" s="94">
        <v>0</v>
      </c>
      <c r="T13" s="94">
        <v>0</v>
      </c>
    </row>
    <row r="14" spans="1:49" ht="15" customHeight="1" x14ac:dyDescent="0.3">
      <c r="A14" s="86" t="s">
        <v>154</v>
      </c>
      <c r="B14" s="87">
        <v>2019</v>
      </c>
      <c r="C14" s="94">
        <f t="shared" si="0"/>
        <v>8</v>
      </c>
      <c r="D14" s="94">
        <v>5</v>
      </c>
      <c r="E14" s="94">
        <v>0</v>
      </c>
      <c r="F14" s="94">
        <v>0</v>
      </c>
      <c r="G14" s="94">
        <v>0</v>
      </c>
      <c r="H14" s="94">
        <v>1</v>
      </c>
      <c r="I14" s="94">
        <v>1</v>
      </c>
      <c r="J14" s="94">
        <v>0</v>
      </c>
      <c r="K14" s="94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1</v>
      </c>
      <c r="R14" s="94">
        <v>0</v>
      </c>
      <c r="S14" s="94">
        <v>0</v>
      </c>
      <c r="T14" s="94">
        <v>0</v>
      </c>
    </row>
    <row r="15" spans="1:49" ht="15" customHeight="1" x14ac:dyDescent="0.3">
      <c r="A15" s="119" t="s">
        <v>154</v>
      </c>
      <c r="B15" s="120">
        <v>2020</v>
      </c>
      <c r="C15" s="121">
        <f t="shared" si="0"/>
        <v>7</v>
      </c>
      <c r="D15" s="121">
        <v>4</v>
      </c>
      <c r="E15" s="121">
        <v>0</v>
      </c>
      <c r="F15" s="121">
        <v>0</v>
      </c>
      <c r="G15" s="121">
        <v>0</v>
      </c>
      <c r="H15" s="121">
        <v>1</v>
      </c>
      <c r="I15" s="121">
        <v>1</v>
      </c>
      <c r="J15" s="121">
        <v>0</v>
      </c>
      <c r="K15" s="121">
        <v>0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1</v>
      </c>
      <c r="R15" s="121">
        <v>0</v>
      </c>
      <c r="S15" s="121">
        <v>0</v>
      </c>
      <c r="T15" s="122">
        <v>0</v>
      </c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</row>
    <row r="16" spans="1:49" s="104" customFormat="1" ht="15" customHeight="1" x14ac:dyDescent="0.3">
      <c r="A16" s="86" t="s">
        <v>154</v>
      </c>
      <c r="B16" s="87">
        <v>2021</v>
      </c>
      <c r="C16" s="94">
        <v>6</v>
      </c>
      <c r="D16" s="94">
        <v>4</v>
      </c>
      <c r="E16" s="94">
        <v>0</v>
      </c>
      <c r="F16" s="94">
        <v>0</v>
      </c>
      <c r="G16" s="94">
        <v>0</v>
      </c>
      <c r="H16" s="94">
        <v>1</v>
      </c>
      <c r="I16" s="94">
        <v>1</v>
      </c>
      <c r="J16" s="94">
        <v>0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  <c r="P16" s="94">
        <v>0</v>
      </c>
      <c r="Q16" s="94">
        <v>0</v>
      </c>
      <c r="R16" s="94">
        <v>0</v>
      </c>
      <c r="S16" s="94">
        <v>0</v>
      </c>
      <c r="T16" s="113">
        <v>0</v>
      </c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</row>
    <row r="17" spans="1:49" s="116" customFormat="1" ht="15" customHeight="1" x14ac:dyDescent="0.3">
      <c r="A17" s="105" t="s">
        <v>154</v>
      </c>
      <c r="B17" s="106">
        <v>2022</v>
      </c>
      <c r="C17" s="107">
        <f>SUM(D17:T17)</f>
        <v>6</v>
      </c>
      <c r="D17" s="107">
        <v>4</v>
      </c>
      <c r="E17" s="107">
        <v>0</v>
      </c>
      <c r="F17" s="107">
        <v>0</v>
      </c>
      <c r="G17" s="107">
        <v>0</v>
      </c>
      <c r="H17" s="107">
        <v>1</v>
      </c>
      <c r="I17" s="107">
        <v>1</v>
      </c>
      <c r="J17" s="107">
        <v>0</v>
      </c>
      <c r="K17" s="107">
        <v>0</v>
      </c>
      <c r="L17" s="107">
        <v>0</v>
      </c>
      <c r="M17" s="107">
        <v>0</v>
      </c>
      <c r="N17" s="107">
        <v>0</v>
      </c>
      <c r="O17" s="107">
        <v>0</v>
      </c>
      <c r="P17" s="107">
        <v>0</v>
      </c>
      <c r="Q17" s="107">
        <v>0</v>
      </c>
      <c r="R17" s="107">
        <v>0</v>
      </c>
      <c r="S17" s="107">
        <v>0</v>
      </c>
      <c r="T17" s="112">
        <v>0</v>
      </c>
    </row>
    <row r="18" spans="1:49" s="116" customFormat="1" ht="15" customHeight="1" x14ac:dyDescent="0.3">
      <c r="A18" s="105" t="s">
        <v>154</v>
      </c>
      <c r="B18" s="106">
        <v>2023</v>
      </c>
      <c r="C18" s="107">
        <f>SUM(D18:T18)</f>
        <v>6</v>
      </c>
      <c r="D18" s="107">
        <v>4</v>
      </c>
      <c r="E18" s="107">
        <v>0</v>
      </c>
      <c r="F18" s="107">
        <v>0</v>
      </c>
      <c r="G18" s="107">
        <v>0</v>
      </c>
      <c r="H18" s="107">
        <v>1</v>
      </c>
      <c r="I18" s="107">
        <v>1</v>
      </c>
      <c r="J18" s="107">
        <v>0</v>
      </c>
      <c r="K18" s="107">
        <v>0</v>
      </c>
      <c r="L18" s="107">
        <v>0</v>
      </c>
      <c r="M18" s="107">
        <v>0</v>
      </c>
      <c r="N18" s="107">
        <v>0</v>
      </c>
      <c r="O18" s="107">
        <v>0</v>
      </c>
      <c r="P18" s="107">
        <v>0</v>
      </c>
      <c r="Q18" s="107">
        <v>0</v>
      </c>
      <c r="R18" s="107">
        <v>0</v>
      </c>
      <c r="S18" s="107">
        <v>0</v>
      </c>
      <c r="T18" s="112">
        <v>0</v>
      </c>
    </row>
    <row r="19" spans="1:49" s="116" customFormat="1" ht="15" customHeight="1" x14ac:dyDescent="0.3">
      <c r="A19" s="123" t="s">
        <v>154</v>
      </c>
      <c r="B19" s="124">
        <v>2024</v>
      </c>
      <c r="C19" s="125">
        <f>SUM(D19:T19)</f>
        <v>6</v>
      </c>
      <c r="D19" s="125">
        <v>4</v>
      </c>
      <c r="E19" s="125">
        <v>0</v>
      </c>
      <c r="F19" s="125">
        <v>0</v>
      </c>
      <c r="G19" s="125">
        <v>0</v>
      </c>
      <c r="H19" s="125">
        <v>1</v>
      </c>
      <c r="I19" s="125">
        <v>1</v>
      </c>
      <c r="J19" s="125">
        <v>0</v>
      </c>
      <c r="K19" s="125">
        <v>0</v>
      </c>
      <c r="L19" s="125">
        <v>0</v>
      </c>
      <c r="M19" s="125">
        <v>0</v>
      </c>
      <c r="N19" s="125">
        <v>0</v>
      </c>
      <c r="O19" s="125">
        <v>0</v>
      </c>
      <c r="P19" s="125">
        <v>0</v>
      </c>
      <c r="Q19" s="125">
        <v>0</v>
      </c>
      <c r="R19" s="125">
        <v>0</v>
      </c>
      <c r="S19" s="125">
        <v>0</v>
      </c>
      <c r="T19" s="126">
        <v>0</v>
      </c>
    </row>
    <row r="20" spans="1:49" ht="15" customHeight="1" x14ac:dyDescent="0.3">
      <c r="A20" s="105" t="s">
        <v>155</v>
      </c>
      <c r="B20" s="106">
        <v>2011</v>
      </c>
      <c r="C20" s="107">
        <f t="shared" si="0"/>
        <v>9274</v>
      </c>
      <c r="D20" s="107">
        <v>3331</v>
      </c>
      <c r="E20" s="107">
        <v>725</v>
      </c>
      <c r="F20" s="107">
        <v>480</v>
      </c>
      <c r="G20" s="107">
        <v>364</v>
      </c>
      <c r="H20" s="107">
        <v>276</v>
      </c>
      <c r="I20" s="107">
        <v>256</v>
      </c>
      <c r="J20" s="107">
        <v>189</v>
      </c>
      <c r="K20" s="108"/>
      <c r="L20" s="107">
        <v>1720</v>
      </c>
      <c r="M20" s="107">
        <v>181</v>
      </c>
      <c r="N20" s="107">
        <v>177</v>
      </c>
      <c r="O20" s="107">
        <v>237</v>
      </c>
      <c r="P20" s="107">
        <v>265</v>
      </c>
      <c r="Q20" s="107">
        <v>222</v>
      </c>
      <c r="R20" s="107">
        <v>322</v>
      </c>
      <c r="S20" s="107">
        <v>431</v>
      </c>
      <c r="T20" s="112">
        <v>98</v>
      </c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</row>
    <row r="21" spans="1:49" ht="15" customHeight="1" x14ac:dyDescent="0.3">
      <c r="A21" s="86" t="s">
        <v>155</v>
      </c>
      <c r="B21" s="87">
        <v>2012</v>
      </c>
      <c r="C21" s="94">
        <f t="shared" si="0"/>
        <v>9295</v>
      </c>
      <c r="D21" s="94">
        <v>3277</v>
      </c>
      <c r="E21" s="94">
        <v>734</v>
      </c>
      <c r="F21" s="94">
        <v>485</v>
      </c>
      <c r="G21" s="94">
        <v>370</v>
      </c>
      <c r="H21" s="94">
        <v>278</v>
      </c>
      <c r="I21" s="94">
        <v>255</v>
      </c>
      <c r="J21" s="94">
        <v>189</v>
      </c>
      <c r="K21" s="94">
        <v>18</v>
      </c>
      <c r="L21" s="94">
        <v>1729</v>
      </c>
      <c r="M21" s="94">
        <v>183</v>
      </c>
      <c r="N21" s="94">
        <v>182</v>
      </c>
      <c r="O21" s="94">
        <v>233</v>
      </c>
      <c r="P21" s="94">
        <v>269</v>
      </c>
      <c r="Q21" s="94">
        <v>223</v>
      </c>
      <c r="R21" s="94">
        <v>327</v>
      </c>
      <c r="S21" s="94">
        <v>442</v>
      </c>
      <c r="T21" s="113">
        <v>101</v>
      </c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</row>
    <row r="22" spans="1:49" ht="15" customHeight="1" x14ac:dyDescent="0.3">
      <c r="A22" s="86" t="s">
        <v>155</v>
      </c>
      <c r="B22" s="87">
        <v>2013</v>
      </c>
      <c r="C22" s="94">
        <f t="shared" si="0"/>
        <v>9250</v>
      </c>
      <c r="D22" s="94">
        <v>3196</v>
      </c>
      <c r="E22" s="94">
        <v>749</v>
      </c>
      <c r="F22" s="94">
        <v>487</v>
      </c>
      <c r="G22" s="94">
        <v>378</v>
      </c>
      <c r="H22" s="94">
        <v>273</v>
      </c>
      <c r="I22" s="94">
        <v>253</v>
      </c>
      <c r="J22" s="94">
        <v>194</v>
      </c>
      <c r="K22" s="94">
        <v>25</v>
      </c>
      <c r="L22" s="94">
        <v>1715</v>
      </c>
      <c r="M22" s="94">
        <v>183</v>
      </c>
      <c r="N22" s="94">
        <v>184</v>
      </c>
      <c r="O22" s="94">
        <v>234</v>
      </c>
      <c r="P22" s="94">
        <v>267</v>
      </c>
      <c r="Q22" s="94">
        <v>225</v>
      </c>
      <c r="R22" s="94">
        <v>329</v>
      </c>
      <c r="S22" s="94">
        <v>456</v>
      </c>
      <c r="T22" s="113">
        <v>102</v>
      </c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</row>
    <row r="23" spans="1:49" ht="15" customHeight="1" x14ac:dyDescent="0.3">
      <c r="A23" s="86" t="s">
        <v>155</v>
      </c>
      <c r="B23" s="87">
        <v>2014</v>
      </c>
      <c r="C23" s="94">
        <f t="shared" si="0"/>
        <v>8725</v>
      </c>
      <c r="D23" s="94">
        <f>2955+1</f>
        <v>2956</v>
      </c>
      <c r="E23" s="94">
        <v>713</v>
      </c>
      <c r="F23" s="94">
        <v>470</v>
      </c>
      <c r="G23" s="94">
        <v>355</v>
      </c>
      <c r="H23" s="94">
        <v>261</v>
      </c>
      <c r="I23" s="94">
        <v>240</v>
      </c>
      <c r="J23" s="94">
        <v>184</v>
      </c>
      <c r="K23" s="94">
        <v>35</v>
      </c>
      <c r="L23" s="94">
        <v>1604</v>
      </c>
      <c r="M23" s="94">
        <v>171</v>
      </c>
      <c r="N23" s="94">
        <v>179</v>
      </c>
      <c r="O23" s="94">
        <v>225</v>
      </c>
      <c r="P23" s="94">
        <v>246</v>
      </c>
      <c r="Q23" s="94">
        <v>225</v>
      </c>
      <c r="R23" s="94">
        <v>323</v>
      </c>
      <c r="S23" s="94">
        <v>443</v>
      </c>
      <c r="T23" s="113">
        <v>95</v>
      </c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</row>
    <row r="24" spans="1:49" ht="15" customHeight="1" x14ac:dyDescent="0.3">
      <c r="A24" s="101" t="s">
        <v>155</v>
      </c>
      <c r="B24" s="102">
        <v>2015</v>
      </c>
      <c r="C24" s="103">
        <f t="shared" si="0"/>
        <v>8457</v>
      </c>
      <c r="D24" s="103">
        <f>2826+1</f>
        <v>2827</v>
      </c>
      <c r="E24" s="103">
        <v>685</v>
      </c>
      <c r="F24" s="103">
        <v>452</v>
      </c>
      <c r="G24" s="103">
        <v>354</v>
      </c>
      <c r="H24" s="103">
        <v>232</v>
      </c>
      <c r="I24" s="103">
        <v>230</v>
      </c>
      <c r="J24" s="103">
        <v>183</v>
      </c>
      <c r="K24" s="103">
        <v>41</v>
      </c>
      <c r="L24" s="103">
        <v>1569</v>
      </c>
      <c r="M24" s="103">
        <v>177</v>
      </c>
      <c r="N24" s="103">
        <v>174</v>
      </c>
      <c r="O24" s="103">
        <v>219</v>
      </c>
      <c r="P24" s="103">
        <v>242</v>
      </c>
      <c r="Q24" s="103">
        <v>213</v>
      </c>
      <c r="R24" s="103">
        <v>317</v>
      </c>
      <c r="S24" s="103">
        <v>445</v>
      </c>
      <c r="T24" s="114">
        <v>97</v>
      </c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</row>
    <row r="25" spans="1:49" ht="15" customHeight="1" x14ac:dyDescent="0.3">
      <c r="A25" s="86" t="s">
        <v>155</v>
      </c>
      <c r="B25" s="87">
        <v>2016</v>
      </c>
      <c r="C25" s="94">
        <f t="shared" si="0"/>
        <v>8280</v>
      </c>
      <c r="D25" s="94">
        <f>2727+1</f>
        <v>2728</v>
      </c>
      <c r="E25" s="94">
        <v>670</v>
      </c>
      <c r="F25" s="94">
        <v>449</v>
      </c>
      <c r="G25" s="94">
        <v>346</v>
      </c>
      <c r="H25" s="94">
        <v>230</v>
      </c>
      <c r="I25" s="94">
        <v>227</v>
      </c>
      <c r="J25" s="94">
        <v>180</v>
      </c>
      <c r="K25" s="94">
        <v>44</v>
      </c>
      <c r="L25" s="94">
        <v>1541</v>
      </c>
      <c r="M25" s="94">
        <v>170</v>
      </c>
      <c r="N25" s="94">
        <v>167</v>
      </c>
      <c r="O25" s="94">
        <v>217</v>
      </c>
      <c r="P25" s="94">
        <v>239</v>
      </c>
      <c r="Q25" s="94">
        <v>210</v>
      </c>
      <c r="R25" s="94">
        <v>322</v>
      </c>
      <c r="S25" s="94">
        <v>441</v>
      </c>
      <c r="T25" s="113">
        <v>99</v>
      </c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</row>
    <row r="26" spans="1:49" ht="15" customHeight="1" x14ac:dyDescent="0.3">
      <c r="A26" s="86" t="s">
        <v>155</v>
      </c>
      <c r="B26" s="87">
        <v>2017</v>
      </c>
      <c r="C26" s="94">
        <f t="shared" si="0"/>
        <v>7981</v>
      </c>
      <c r="D26" s="94">
        <f>2583+1</f>
        <v>2584</v>
      </c>
      <c r="E26" s="94">
        <v>655</v>
      </c>
      <c r="F26" s="94">
        <v>424</v>
      </c>
      <c r="G26" s="94">
        <v>334</v>
      </c>
      <c r="H26" s="94">
        <v>224</v>
      </c>
      <c r="I26" s="94">
        <v>218</v>
      </c>
      <c r="J26" s="94">
        <v>179</v>
      </c>
      <c r="K26" s="94">
        <v>45</v>
      </c>
      <c r="L26" s="94">
        <v>1475</v>
      </c>
      <c r="M26" s="94">
        <v>170</v>
      </c>
      <c r="N26" s="94">
        <v>165</v>
      </c>
      <c r="O26" s="94">
        <v>211</v>
      </c>
      <c r="P26" s="94">
        <v>234</v>
      </c>
      <c r="Q26" s="94">
        <v>208</v>
      </c>
      <c r="R26" s="94">
        <v>321</v>
      </c>
      <c r="S26" s="94">
        <v>433</v>
      </c>
      <c r="T26" s="113">
        <v>101</v>
      </c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</row>
    <row r="27" spans="1:49" ht="15" customHeight="1" x14ac:dyDescent="0.3">
      <c r="A27" s="86" t="s">
        <v>155</v>
      </c>
      <c r="B27" s="87">
        <v>2018</v>
      </c>
      <c r="C27" s="94">
        <f t="shared" si="0"/>
        <v>7922</v>
      </c>
      <c r="D27" s="94">
        <f>2553+1</f>
        <v>2554</v>
      </c>
      <c r="E27" s="94">
        <v>649</v>
      </c>
      <c r="F27" s="94">
        <v>416</v>
      </c>
      <c r="G27" s="94">
        <v>341</v>
      </c>
      <c r="H27" s="94">
        <v>225</v>
      </c>
      <c r="I27" s="94">
        <v>209</v>
      </c>
      <c r="J27" s="94">
        <v>173</v>
      </c>
      <c r="K27" s="94">
        <v>46</v>
      </c>
      <c r="L27" s="94">
        <v>1484</v>
      </c>
      <c r="M27" s="94">
        <v>168</v>
      </c>
      <c r="N27" s="94">
        <v>164</v>
      </c>
      <c r="O27" s="94">
        <v>209</v>
      </c>
      <c r="P27" s="94">
        <v>232</v>
      </c>
      <c r="Q27" s="94">
        <v>208</v>
      </c>
      <c r="R27" s="94">
        <v>313</v>
      </c>
      <c r="S27" s="94">
        <v>432</v>
      </c>
      <c r="T27" s="113">
        <v>99</v>
      </c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</row>
    <row r="28" spans="1:49" ht="15" customHeight="1" x14ac:dyDescent="0.3">
      <c r="A28" s="86" t="s">
        <v>155</v>
      </c>
      <c r="B28" s="87">
        <v>2019</v>
      </c>
      <c r="C28" s="94">
        <f t="shared" si="0"/>
        <v>7808</v>
      </c>
      <c r="D28" s="94">
        <f>2494+1</f>
        <v>2495</v>
      </c>
      <c r="E28" s="94">
        <v>636</v>
      </c>
      <c r="F28" s="94">
        <v>411</v>
      </c>
      <c r="G28" s="94">
        <v>336</v>
      </c>
      <c r="H28" s="94">
        <v>225</v>
      </c>
      <c r="I28" s="94">
        <v>203</v>
      </c>
      <c r="J28" s="94">
        <v>171</v>
      </c>
      <c r="K28" s="94">
        <v>48</v>
      </c>
      <c r="L28" s="94">
        <v>1478</v>
      </c>
      <c r="M28" s="94">
        <v>163</v>
      </c>
      <c r="N28" s="94">
        <v>163</v>
      </c>
      <c r="O28" s="94">
        <v>209</v>
      </c>
      <c r="P28" s="94">
        <v>233</v>
      </c>
      <c r="Q28" s="94">
        <v>206</v>
      </c>
      <c r="R28" s="94">
        <v>307</v>
      </c>
      <c r="S28" s="94">
        <v>424</v>
      </c>
      <c r="T28" s="113">
        <v>100</v>
      </c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</row>
    <row r="29" spans="1:49" ht="15" customHeight="1" x14ac:dyDescent="0.3">
      <c r="A29" s="119" t="s">
        <v>155</v>
      </c>
      <c r="B29" s="120">
        <v>2020</v>
      </c>
      <c r="C29" s="121">
        <f t="shared" si="0"/>
        <v>7464</v>
      </c>
      <c r="D29" s="121">
        <v>2388</v>
      </c>
      <c r="E29" s="121">
        <v>593</v>
      </c>
      <c r="F29" s="121">
        <v>390</v>
      </c>
      <c r="G29" s="121">
        <v>321</v>
      </c>
      <c r="H29" s="121">
        <v>216</v>
      </c>
      <c r="I29" s="121">
        <v>186</v>
      </c>
      <c r="J29" s="121">
        <v>161</v>
      </c>
      <c r="K29" s="121">
        <v>46</v>
      </c>
      <c r="L29" s="121">
        <v>1423</v>
      </c>
      <c r="M29" s="121">
        <v>159</v>
      </c>
      <c r="N29" s="121">
        <v>158</v>
      </c>
      <c r="O29" s="121">
        <v>204</v>
      </c>
      <c r="P29" s="121">
        <v>226</v>
      </c>
      <c r="Q29" s="121">
        <v>202</v>
      </c>
      <c r="R29" s="121">
        <v>295</v>
      </c>
      <c r="S29" s="121">
        <v>400</v>
      </c>
      <c r="T29" s="122">
        <v>96</v>
      </c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</row>
    <row r="30" spans="1:49" s="104" customFormat="1" ht="15" customHeight="1" x14ac:dyDescent="0.3">
      <c r="A30" s="86" t="s">
        <v>155</v>
      </c>
      <c r="B30" s="87">
        <v>2021</v>
      </c>
      <c r="C30" s="94">
        <v>7066</v>
      </c>
      <c r="D30" s="94">
        <v>2231</v>
      </c>
      <c r="E30" s="94">
        <v>555</v>
      </c>
      <c r="F30" s="94">
        <v>367</v>
      </c>
      <c r="G30" s="94">
        <v>309</v>
      </c>
      <c r="H30" s="94">
        <v>211</v>
      </c>
      <c r="I30" s="94">
        <v>179</v>
      </c>
      <c r="J30" s="94">
        <v>154</v>
      </c>
      <c r="K30" s="94">
        <v>47</v>
      </c>
      <c r="L30" s="94">
        <v>1352</v>
      </c>
      <c r="M30" s="94">
        <v>155</v>
      </c>
      <c r="N30" s="94">
        <v>156</v>
      </c>
      <c r="O30" s="94">
        <v>195</v>
      </c>
      <c r="P30" s="94">
        <v>222</v>
      </c>
      <c r="Q30" s="94">
        <v>193</v>
      </c>
      <c r="R30" s="94">
        <v>277</v>
      </c>
      <c r="S30" s="94">
        <v>373</v>
      </c>
      <c r="T30" s="113">
        <v>90</v>
      </c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</row>
    <row r="31" spans="1:49" s="116" customFormat="1" ht="15" customHeight="1" x14ac:dyDescent="0.3">
      <c r="A31" s="105" t="s">
        <v>155</v>
      </c>
      <c r="B31" s="106">
        <v>2022</v>
      </c>
      <c r="C31" s="107">
        <f>SUM(D31:T31)</f>
        <v>6714</v>
      </c>
      <c r="D31" s="107">
        <v>2091</v>
      </c>
      <c r="E31" s="107">
        <v>537</v>
      </c>
      <c r="F31" s="107">
        <v>334</v>
      </c>
      <c r="G31" s="107">
        <v>296</v>
      </c>
      <c r="H31" s="107">
        <v>200</v>
      </c>
      <c r="I31" s="107">
        <v>175</v>
      </c>
      <c r="J31" s="107">
        <v>148</v>
      </c>
      <c r="K31" s="107">
        <v>47</v>
      </c>
      <c r="L31" s="107">
        <v>1285</v>
      </c>
      <c r="M31" s="107">
        <v>153</v>
      </c>
      <c r="N31" s="107">
        <v>152</v>
      </c>
      <c r="O31" s="107">
        <v>188</v>
      </c>
      <c r="P31" s="107">
        <v>213</v>
      </c>
      <c r="Q31" s="107">
        <v>183</v>
      </c>
      <c r="R31" s="107">
        <v>270</v>
      </c>
      <c r="S31" s="107">
        <v>352</v>
      </c>
      <c r="T31" s="112">
        <v>90</v>
      </c>
    </row>
    <row r="32" spans="1:49" s="116" customFormat="1" ht="15" customHeight="1" x14ac:dyDescent="0.3">
      <c r="A32" s="105" t="s">
        <v>155</v>
      </c>
      <c r="B32" s="106">
        <v>2023</v>
      </c>
      <c r="C32" s="107">
        <f>SUM(D32:T32)</f>
        <v>6598</v>
      </c>
      <c r="D32" s="107">
        <v>2026</v>
      </c>
      <c r="E32" s="107">
        <v>527</v>
      </c>
      <c r="F32" s="107">
        <v>329</v>
      </c>
      <c r="G32" s="107">
        <v>294</v>
      </c>
      <c r="H32" s="107">
        <v>195</v>
      </c>
      <c r="I32" s="107">
        <v>172</v>
      </c>
      <c r="J32" s="107">
        <v>147</v>
      </c>
      <c r="K32" s="107">
        <v>47</v>
      </c>
      <c r="L32" s="107">
        <v>1272</v>
      </c>
      <c r="M32" s="107">
        <v>155</v>
      </c>
      <c r="N32" s="107">
        <v>150</v>
      </c>
      <c r="O32" s="107">
        <v>188</v>
      </c>
      <c r="P32" s="107">
        <v>210</v>
      </c>
      <c r="Q32" s="107">
        <v>174</v>
      </c>
      <c r="R32" s="107">
        <v>261</v>
      </c>
      <c r="S32" s="107">
        <v>362</v>
      </c>
      <c r="T32" s="112">
        <v>89</v>
      </c>
    </row>
    <row r="33" spans="1:49" s="116" customFormat="1" ht="15" customHeight="1" x14ac:dyDescent="0.3">
      <c r="A33" s="123" t="s">
        <v>155</v>
      </c>
      <c r="B33" s="124">
        <v>2024</v>
      </c>
      <c r="C33" s="125">
        <f>SUM(D33:T33)</f>
        <v>6425</v>
      </c>
      <c r="D33" s="125">
        <v>1939</v>
      </c>
      <c r="E33" s="125">
        <v>516</v>
      </c>
      <c r="F33" s="125">
        <v>316</v>
      </c>
      <c r="G33" s="125">
        <v>292</v>
      </c>
      <c r="H33" s="125">
        <v>186</v>
      </c>
      <c r="I33" s="125">
        <v>168</v>
      </c>
      <c r="J33" s="125">
        <v>145</v>
      </c>
      <c r="K33" s="125">
        <v>46</v>
      </c>
      <c r="L33" s="125">
        <v>1257</v>
      </c>
      <c r="M33" s="125">
        <v>153</v>
      </c>
      <c r="N33" s="125">
        <v>146</v>
      </c>
      <c r="O33" s="125">
        <v>186</v>
      </c>
      <c r="P33" s="125">
        <v>205</v>
      </c>
      <c r="Q33" s="125">
        <v>171</v>
      </c>
      <c r="R33" s="125">
        <v>257</v>
      </c>
      <c r="S33" s="125">
        <v>356</v>
      </c>
      <c r="T33" s="126">
        <v>86</v>
      </c>
    </row>
    <row r="34" spans="1:49" ht="15" customHeight="1" x14ac:dyDescent="0.3">
      <c r="A34" s="105" t="s">
        <v>156</v>
      </c>
      <c r="B34" s="106">
        <v>2011</v>
      </c>
      <c r="C34" s="107">
        <f t="shared" si="0"/>
        <v>9735</v>
      </c>
      <c r="D34" s="107">
        <v>3498</v>
      </c>
      <c r="E34" s="107">
        <v>768</v>
      </c>
      <c r="F34" s="107">
        <v>505</v>
      </c>
      <c r="G34" s="107">
        <v>379</v>
      </c>
      <c r="H34" s="107">
        <v>288</v>
      </c>
      <c r="I34" s="107">
        <v>269</v>
      </c>
      <c r="J34" s="107">
        <v>207</v>
      </c>
      <c r="K34" s="108"/>
      <c r="L34" s="107">
        <v>1798</v>
      </c>
      <c r="M34" s="107">
        <v>186</v>
      </c>
      <c r="N34" s="107">
        <v>188</v>
      </c>
      <c r="O34" s="107">
        <v>246</v>
      </c>
      <c r="P34" s="107">
        <v>279</v>
      </c>
      <c r="Q34" s="107">
        <v>232</v>
      </c>
      <c r="R34" s="107">
        <v>335</v>
      </c>
      <c r="S34" s="107">
        <v>454</v>
      </c>
      <c r="T34" s="112">
        <v>103</v>
      </c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</row>
    <row r="35" spans="1:49" ht="15" customHeight="1" x14ac:dyDescent="0.3">
      <c r="A35" s="86" t="s">
        <v>156</v>
      </c>
      <c r="B35" s="87">
        <v>2012</v>
      </c>
      <c r="C35" s="94">
        <f t="shared" si="0"/>
        <v>9669</v>
      </c>
      <c r="D35" s="94">
        <v>3415</v>
      </c>
      <c r="E35" s="94">
        <v>773</v>
      </c>
      <c r="F35" s="94">
        <v>503</v>
      </c>
      <c r="G35" s="94">
        <v>383</v>
      </c>
      <c r="H35" s="94">
        <v>289</v>
      </c>
      <c r="I35" s="94">
        <v>267</v>
      </c>
      <c r="J35" s="94">
        <v>207</v>
      </c>
      <c r="K35" s="94">
        <v>18</v>
      </c>
      <c r="L35" s="94">
        <v>1789</v>
      </c>
      <c r="M35" s="94">
        <v>187</v>
      </c>
      <c r="N35" s="94">
        <v>189</v>
      </c>
      <c r="O35" s="94">
        <v>240</v>
      </c>
      <c r="P35" s="94">
        <v>279</v>
      </c>
      <c r="Q35" s="94">
        <v>230</v>
      </c>
      <c r="R35" s="94">
        <v>336</v>
      </c>
      <c r="S35" s="94">
        <v>460</v>
      </c>
      <c r="T35" s="113">
        <v>104</v>
      </c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</row>
    <row r="36" spans="1:49" ht="15" customHeight="1" x14ac:dyDescent="0.3">
      <c r="A36" s="86" t="s">
        <v>156</v>
      </c>
      <c r="B36" s="87">
        <v>2013</v>
      </c>
      <c r="C36" s="94">
        <f t="shared" si="0"/>
        <v>9594</v>
      </c>
      <c r="D36" s="94">
        <v>3339</v>
      </c>
      <c r="E36" s="94">
        <v>773</v>
      </c>
      <c r="F36" s="94">
        <v>504</v>
      </c>
      <c r="G36" s="94">
        <v>389</v>
      </c>
      <c r="H36" s="94">
        <v>283</v>
      </c>
      <c r="I36" s="94">
        <v>264</v>
      </c>
      <c r="J36" s="94">
        <v>207</v>
      </c>
      <c r="K36" s="94">
        <v>25</v>
      </c>
      <c r="L36" s="94">
        <v>1766</v>
      </c>
      <c r="M36" s="94">
        <v>189</v>
      </c>
      <c r="N36" s="94">
        <v>190</v>
      </c>
      <c r="O36" s="94">
        <v>237</v>
      </c>
      <c r="P36" s="94">
        <v>276</v>
      </c>
      <c r="Q36" s="94">
        <v>234</v>
      </c>
      <c r="R36" s="94">
        <v>342</v>
      </c>
      <c r="S36" s="94">
        <v>472</v>
      </c>
      <c r="T36" s="113">
        <v>104</v>
      </c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</row>
    <row r="37" spans="1:49" ht="15" customHeight="1" x14ac:dyDescent="0.3">
      <c r="A37" s="86" t="s">
        <v>156</v>
      </c>
      <c r="B37" s="87">
        <v>2014</v>
      </c>
      <c r="C37" s="94">
        <f t="shared" si="0"/>
        <v>8926</v>
      </c>
      <c r="D37" s="94">
        <f>3040+1</f>
        <v>3041</v>
      </c>
      <c r="E37" s="94">
        <v>728</v>
      </c>
      <c r="F37" s="94">
        <v>481</v>
      </c>
      <c r="G37" s="94">
        <v>364</v>
      </c>
      <c r="H37" s="94">
        <v>270</v>
      </c>
      <c r="I37" s="94">
        <v>247</v>
      </c>
      <c r="J37" s="94">
        <v>191</v>
      </c>
      <c r="K37" s="94">
        <v>35</v>
      </c>
      <c r="L37" s="94">
        <v>1629</v>
      </c>
      <c r="M37" s="94">
        <v>173</v>
      </c>
      <c r="N37" s="94">
        <v>183</v>
      </c>
      <c r="O37" s="94">
        <v>227</v>
      </c>
      <c r="P37" s="94">
        <v>253</v>
      </c>
      <c r="Q37" s="94">
        <v>229</v>
      </c>
      <c r="R37" s="94">
        <v>328</v>
      </c>
      <c r="S37" s="94">
        <v>451</v>
      </c>
      <c r="T37" s="113">
        <v>96</v>
      </c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</row>
    <row r="38" spans="1:49" ht="15" customHeight="1" x14ac:dyDescent="0.3">
      <c r="A38" s="101" t="s">
        <v>156</v>
      </c>
      <c r="B38" s="102">
        <v>2015</v>
      </c>
      <c r="C38" s="103">
        <f t="shared" si="0"/>
        <v>8735</v>
      </c>
      <c r="D38" s="103">
        <f>2934+1</f>
        <v>2935</v>
      </c>
      <c r="E38" s="103">
        <v>705</v>
      </c>
      <c r="F38" s="103">
        <v>468</v>
      </c>
      <c r="G38" s="103">
        <v>365</v>
      </c>
      <c r="H38" s="103">
        <v>245</v>
      </c>
      <c r="I38" s="103">
        <v>240</v>
      </c>
      <c r="J38" s="103">
        <v>195</v>
      </c>
      <c r="K38" s="103">
        <v>41</v>
      </c>
      <c r="L38" s="103">
        <v>1606</v>
      </c>
      <c r="M38" s="103">
        <v>179</v>
      </c>
      <c r="N38" s="103">
        <v>178</v>
      </c>
      <c r="O38" s="103">
        <v>224</v>
      </c>
      <c r="P38" s="103">
        <v>254</v>
      </c>
      <c r="Q38" s="103">
        <v>217</v>
      </c>
      <c r="R38" s="103">
        <v>327</v>
      </c>
      <c r="S38" s="103">
        <v>456</v>
      </c>
      <c r="T38" s="114">
        <v>100</v>
      </c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</row>
    <row r="39" spans="1:49" ht="15" customHeight="1" x14ac:dyDescent="0.3">
      <c r="A39" s="86" t="s">
        <v>156</v>
      </c>
      <c r="B39" s="87">
        <v>2016</v>
      </c>
      <c r="C39" s="94">
        <f t="shared" si="0"/>
        <v>8632</v>
      </c>
      <c r="D39" s="94">
        <f>2841+1</f>
        <v>2842</v>
      </c>
      <c r="E39" s="94">
        <v>701</v>
      </c>
      <c r="F39" s="94">
        <v>465</v>
      </c>
      <c r="G39" s="94">
        <v>359</v>
      </c>
      <c r="H39" s="94">
        <v>251</v>
      </c>
      <c r="I39" s="94">
        <v>234</v>
      </c>
      <c r="J39" s="94">
        <v>189</v>
      </c>
      <c r="K39" s="94">
        <v>44</v>
      </c>
      <c r="L39" s="94">
        <v>1591</v>
      </c>
      <c r="M39" s="94">
        <v>181</v>
      </c>
      <c r="N39" s="94">
        <v>172</v>
      </c>
      <c r="O39" s="94">
        <v>222</v>
      </c>
      <c r="P39" s="94">
        <v>255</v>
      </c>
      <c r="Q39" s="94">
        <v>225</v>
      </c>
      <c r="R39" s="94">
        <v>335</v>
      </c>
      <c r="S39" s="94">
        <v>463</v>
      </c>
      <c r="T39" s="113">
        <v>103</v>
      </c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</row>
    <row r="40" spans="1:49" ht="15" customHeight="1" x14ac:dyDescent="0.3">
      <c r="A40" s="86" t="s">
        <v>156</v>
      </c>
      <c r="B40" s="87">
        <v>2017</v>
      </c>
      <c r="C40" s="94">
        <f t="shared" si="0"/>
        <v>8154</v>
      </c>
      <c r="D40" s="94">
        <f>2642+1</f>
        <v>2643</v>
      </c>
      <c r="E40" s="94">
        <v>669</v>
      </c>
      <c r="F40" s="94">
        <v>429</v>
      </c>
      <c r="G40" s="94">
        <v>339</v>
      </c>
      <c r="H40" s="94">
        <v>238</v>
      </c>
      <c r="I40" s="94">
        <v>223</v>
      </c>
      <c r="J40" s="94">
        <v>187</v>
      </c>
      <c r="K40" s="94">
        <v>45</v>
      </c>
      <c r="L40" s="94">
        <v>1497</v>
      </c>
      <c r="M40" s="94">
        <v>173</v>
      </c>
      <c r="N40" s="94">
        <v>167</v>
      </c>
      <c r="O40" s="94">
        <v>213</v>
      </c>
      <c r="P40" s="94">
        <v>240</v>
      </c>
      <c r="Q40" s="94">
        <v>216</v>
      </c>
      <c r="R40" s="94">
        <v>327</v>
      </c>
      <c r="S40" s="94">
        <v>446</v>
      </c>
      <c r="T40" s="113">
        <v>102</v>
      </c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</row>
    <row r="41" spans="1:49" ht="15" customHeight="1" x14ac:dyDescent="0.3">
      <c r="A41" s="86" t="s">
        <v>156</v>
      </c>
      <c r="B41" s="87">
        <v>2018</v>
      </c>
      <c r="C41" s="94">
        <f t="shared" si="0"/>
        <v>8210</v>
      </c>
      <c r="D41" s="94">
        <f>2607+1</f>
        <v>2608</v>
      </c>
      <c r="E41" s="94">
        <v>667</v>
      </c>
      <c r="F41" s="94">
        <v>425</v>
      </c>
      <c r="G41" s="94">
        <v>352</v>
      </c>
      <c r="H41" s="94">
        <v>231</v>
      </c>
      <c r="I41" s="94">
        <v>215</v>
      </c>
      <c r="J41" s="94">
        <v>182</v>
      </c>
      <c r="K41" s="94">
        <v>47</v>
      </c>
      <c r="L41" s="94">
        <v>1527</v>
      </c>
      <c r="M41" s="94">
        <v>185</v>
      </c>
      <c r="N41" s="94">
        <v>175</v>
      </c>
      <c r="O41" s="94">
        <v>225</v>
      </c>
      <c r="P41" s="94">
        <v>249</v>
      </c>
      <c r="Q41" s="94">
        <v>229</v>
      </c>
      <c r="R41" s="94">
        <v>337</v>
      </c>
      <c r="S41" s="94">
        <v>455</v>
      </c>
      <c r="T41" s="113">
        <v>101</v>
      </c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</row>
    <row r="42" spans="1:49" ht="15" customHeight="1" x14ac:dyDescent="0.3">
      <c r="A42" s="86" t="s">
        <v>156</v>
      </c>
      <c r="B42" s="87">
        <v>2019</v>
      </c>
      <c r="C42" s="94">
        <f t="shared" si="0"/>
        <v>8095</v>
      </c>
      <c r="D42" s="94">
        <f>2547+1</f>
        <v>2548</v>
      </c>
      <c r="E42" s="94">
        <v>654</v>
      </c>
      <c r="F42" s="94">
        <v>420</v>
      </c>
      <c r="G42" s="94">
        <v>347</v>
      </c>
      <c r="H42" s="94">
        <v>231</v>
      </c>
      <c r="I42" s="94">
        <v>209</v>
      </c>
      <c r="J42" s="94">
        <v>180</v>
      </c>
      <c r="K42" s="94">
        <v>49</v>
      </c>
      <c r="L42" s="94">
        <v>1520</v>
      </c>
      <c r="M42" s="94">
        <v>180</v>
      </c>
      <c r="N42" s="94">
        <v>174</v>
      </c>
      <c r="O42" s="94">
        <v>226</v>
      </c>
      <c r="P42" s="94">
        <v>250</v>
      </c>
      <c r="Q42" s="94">
        <v>227</v>
      </c>
      <c r="R42" s="94">
        <v>331</v>
      </c>
      <c r="S42" s="94">
        <v>447</v>
      </c>
      <c r="T42" s="113">
        <v>102</v>
      </c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</row>
    <row r="43" spans="1:49" ht="15" customHeight="1" x14ac:dyDescent="0.3">
      <c r="A43" s="119" t="s">
        <v>156</v>
      </c>
      <c r="B43" s="120">
        <v>2020</v>
      </c>
      <c r="C43" s="121">
        <f t="shared" si="0"/>
        <v>7742</v>
      </c>
      <c r="D43" s="121">
        <v>2415</v>
      </c>
      <c r="E43" s="121">
        <v>614</v>
      </c>
      <c r="F43" s="121">
        <v>399</v>
      </c>
      <c r="G43" s="121">
        <v>331</v>
      </c>
      <c r="H43" s="121">
        <v>223</v>
      </c>
      <c r="I43" s="121">
        <v>193</v>
      </c>
      <c r="J43" s="121">
        <v>170</v>
      </c>
      <c r="K43" s="121">
        <v>47</v>
      </c>
      <c r="L43" s="121">
        <v>1471</v>
      </c>
      <c r="M43" s="121">
        <v>176</v>
      </c>
      <c r="N43" s="121">
        <v>170</v>
      </c>
      <c r="O43" s="121">
        <v>221</v>
      </c>
      <c r="P43" s="121">
        <v>244</v>
      </c>
      <c r="Q43" s="121">
        <v>223</v>
      </c>
      <c r="R43" s="121">
        <v>321</v>
      </c>
      <c r="S43" s="121">
        <v>426</v>
      </c>
      <c r="T43" s="122">
        <v>98</v>
      </c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</row>
    <row r="44" spans="1:49" s="104" customFormat="1" ht="15" customHeight="1" x14ac:dyDescent="0.3">
      <c r="A44" s="86" t="s">
        <v>156</v>
      </c>
      <c r="B44" s="87">
        <v>2021</v>
      </c>
      <c r="C44" s="94">
        <f>SUM(D44:T44)</f>
        <v>7335</v>
      </c>
      <c r="D44" s="94">
        <v>2270</v>
      </c>
      <c r="E44" s="94">
        <v>573</v>
      </c>
      <c r="F44" s="94">
        <v>375</v>
      </c>
      <c r="G44" s="94">
        <v>319</v>
      </c>
      <c r="H44" s="94">
        <v>217</v>
      </c>
      <c r="I44" s="94">
        <v>184</v>
      </c>
      <c r="J44" s="94">
        <v>160</v>
      </c>
      <c r="K44" s="94">
        <v>48</v>
      </c>
      <c r="L44" s="94">
        <v>1395</v>
      </c>
      <c r="M44" s="94">
        <v>174</v>
      </c>
      <c r="N44" s="94">
        <v>167</v>
      </c>
      <c r="O44" s="94">
        <v>210</v>
      </c>
      <c r="P44" s="94">
        <v>239</v>
      </c>
      <c r="Q44" s="94">
        <v>216</v>
      </c>
      <c r="R44" s="94">
        <v>299</v>
      </c>
      <c r="S44" s="94">
        <v>397</v>
      </c>
      <c r="T44" s="113">
        <v>92</v>
      </c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</row>
    <row r="45" spans="1:49" s="116" customFormat="1" ht="15" customHeight="1" x14ac:dyDescent="0.3">
      <c r="A45" s="105" t="s">
        <v>156</v>
      </c>
      <c r="B45" s="106">
        <v>2022</v>
      </c>
      <c r="C45" s="107">
        <f>SUM(D45:T45)</f>
        <v>7064</v>
      </c>
      <c r="D45" s="107">
        <v>2162</v>
      </c>
      <c r="E45" s="107">
        <v>558</v>
      </c>
      <c r="F45" s="107">
        <v>345</v>
      </c>
      <c r="G45" s="107">
        <v>310</v>
      </c>
      <c r="H45" s="107">
        <v>207</v>
      </c>
      <c r="I45" s="107">
        <v>181</v>
      </c>
      <c r="J45" s="107">
        <v>157</v>
      </c>
      <c r="K45" s="107">
        <v>49</v>
      </c>
      <c r="L45" s="107">
        <v>1339</v>
      </c>
      <c r="M45" s="107">
        <v>173</v>
      </c>
      <c r="N45" s="107">
        <v>164</v>
      </c>
      <c r="O45" s="107">
        <v>207</v>
      </c>
      <c r="P45" s="107">
        <v>232</v>
      </c>
      <c r="Q45" s="107">
        <v>207</v>
      </c>
      <c r="R45" s="107">
        <v>299</v>
      </c>
      <c r="S45" s="107">
        <v>381</v>
      </c>
      <c r="T45" s="112">
        <v>93</v>
      </c>
    </row>
    <row r="46" spans="1:49" s="116" customFormat="1" ht="15" customHeight="1" x14ac:dyDescent="0.3">
      <c r="A46" s="105" t="s">
        <v>156</v>
      </c>
      <c r="B46" s="106">
        <v>2023</v>
      </c>
      <c r="C46" s="107">
        <f>SUM(D46:T46)</f>
        <v>6866</v>
      </c>
      <c r="D46" s="107">
        <v>2074</v>
      </c>
      <c r="E46" s="107">
        <v>544</v>
      </c>
      <c r="F46" s="107">
        <v>337</v>
      </c>
      <c r="G46" s="107">
        <v>304</v>
      </c>
      <c r="H46" s="107">
        <v>200</v>
      </c>
      <c r="I46" s="107">
        <v>177</v>
      </c>
      <c r="J46" s="107">
        <v>154</v>
      </c>
      <c r="K46" s="107">
        <v>48</v>
      </c>
      <c r="L46" s="107">
        <v>1316</v>
      </c>
      <c r="M46" s="107">
        <v>170</v>
      </c>
      <c r="N46" s="107">
        <v>159</v>
      </c>
      <c r="O46" s="107">
        <v>206</v>
      </c>
      <c r="P46" s="107">
        <v>225</v>
      </c>
      <c r="Q46" s="107">
        <v>194</v>
      </c>
      <c r="R46" s="107">
        <v>284</v>
      </c>
      <c r="S46" s="107">
        <v>383</v>
      </c>
      <c r="T46" s="112">
        <v>91</v>
      </c>
    </row>
    <row r="47" spans="1:49" s="116" customFormat="1" ht="15" customHeight="1" x14ac:dyDescent="0.3">
      <c r="A47" s="123" t="s">
        <v>156</v>
      </c>
      <c r="B47" s="124">
        <v>2024</v>
      </c>
      <c r="C47" s="125">
        <f>SUM(D47:T47)</f>
        <v>6693</v>
      </c>
      <c r="D47" s="125">
        <v>1988</v>
      </c>
      <c r="E47" s="125">
        <v>533</v>
      </c>
      <c r="F47" s="125">
        <v>325</v>
      </c>
      <c r="G47" s="125">
        <v>301</v>
      </c>
      <c r="H47" s="125">
        <v>191</v>
      </c>
      <c r="I47" s="125">
        <v>173</v>
      </c>
      <c r="J47" s="125">
        <v>153</v>
      </c>
      <c r="K47" s="125">
        <v>47</v>
      </c>
      <c r="L47" s="125">
        <v>1301</v>
      </c>
      <c r="M47" s="125">
        <v>168</v>
      </c>
      <c r="N47" s="125">
        <v>155</v>
      </c>
      <c r="O47" s="125">
        <v>204</v>
      </c>
      <c r="P47" s="125">
        <v>220</v>
      </c>
      <c r="Q47" s="125">
        <v>192</v>
      </c>
      <c r="R47" s="125">
        <v>279</v>
      </c>
      <c r="S47" s="125">
        <v>375</v>
      </c>
      <c r="T47" s="126">
        <v>88</v>
      </c>
    </row>
    <row r="48" spans="1:49" ht="15" customHeight="1" x14ac:dyDescent="0.3">
      <c r="A48" s="105" t="s">
        <v>157</v>
      </c>
      <c r="B48" s="106">
        <v>2011</v>
      </c>
      <c r="C48" s="107">
        <f t="shared" si="0"/>
        <v>357</v>
      </c>
      <c r="D48" s="107">
        <v>123</v>
      </c>
      <c r="E48" s="107">
        <v>31</v>
      </c>
      <c r="F48" s="107">
        <v>10</v>
      </c>
      <c r="G48" s="107">
        <v>14</v>
      </c>
      <c r="H48" s="107">
        <v>11</v>
      </c>
      <c r="I48" s="107">
        <v>9</v>
      </c>
      <c r="J48" s="107">
        <v>6</v>
      </c>
      <c r="K48" s="108"/>
      <c r="L48" s="107">
        <v>68</v>
      </c>
      <c r="M48" s="107">
        <v>8</v>
      </c>
      <c r="N48" s="107">
        <v>11</v>
      </c>
      <c r="O48" s="107">
        <v>14</v>
      </c>
      <c r="P48" s="107">
        <v>14</v>
      </c>
      <c r="Q48" s="107">
        <v>6</v>
      </c>
      <c r="R48" s="107">
        <v>11</v>
      </c>
      <c r="S48" s="107">
        <v>15</v>
      </c>
      <c r="T48" s="112">
        <v>6</v>
      </c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</row>
    <row r="49" spans="1:49" ht="15" customHeight="1" x14ac:dyDescent="0.3">
      <c r="A49" s="86" t="s">
        <v>157</v>
      </c>
      <c r="B49" s="87">
        <v>2012</v>
      </c>
      <c r="C49" s="94">
        <f t="shared" si="0"/>
        <v>375</v>
      </c>
      <c r="D49" s="94">
        <v>134</v>
      </c>
      <c r="E49" s="94">
        <v>34</v>
      </c>
      <c r="F49" s="94">
        <v>11</v>
      </c>
      <c r="G49" s="94">
        <v>16</v>
      </c>
      <c r="H49" s="94">
        <v>11</v>
      </c>
      <c r="I49" s="94">
        <v>8</v>
      </c>
      <c r="J49" s="94">
        <v>6</v>
      </c>
      <c r="K49" s="94">
        <v>1</v>
      </c>
      <c r="L49" s="94">
        <v>77</v>
      </c>
      <c r="M49" s="94">
        <v>5</v>
      </c>
      <c r="N49" s="94">
        <v>9</v>
      </c>
      <c r="O49" s="94">
        <v>12</v>
      </c>
      <c r="P49" s="94">
        <v>14</v>
      </c>
      <c r="Q49" s="94">
        <v>6</v>
      </c>
      <c r="R49" s="94">
        <v>11</v>
      </c>
      <c r="S49" s="94">
        <v>14</v>
      </c>
      <c r="T49" s="113">
        <v>6</v>
      </c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</row>
    <row r="50" spans="1:49" ht="15" customHeight="1" x14ac:dyDescent="0.3">
      <c r="A50" s="86" t="s">
        <v>157</v>
      </c>
      <c r="B50" s="87">
        <v>2013</v>
      </c>
      <c r="C50" s="94">
        <f t="shared" ref="C50:C99" si="1">SUM(D50:T50)</f>
        <v>339</v>
      </c>
      <c r="D50" s="94">
        <v>131</v>
      </c>
      <c r="E50" s="94">
        <v>32</v>
      </c>
      <c r="F50" s="94">
        <v>12</v>
      </c>
      <c r="G50" s="94">
        <v>13</v>
      </c>
      <c r="H50" s="94">
        <v>12</v>
      </c>
      <c r="I50" s="94">
        <v>6</v>
      </c>
      <c r="J50" s="94">
        <v>6</v>
      </c>
      <c r="K50" s="94">
        <v>1</v>
      </c>
      <c r="L50" s="94">
        <v>62</v>
      </c>
      <c r="M50" s="94">
        <v>3</v>
      </c>
      <c r="N50" s="94">
        <v>10</v>
      </c>
      <c r="O50" s="94">
        <v>7</v>
      </c>
      <c r="P50" s="94">
        <v>12</v>
      </c>
      <c r="Q50" s="94">
        <v>6</v>
      </c>
      <c r="R50" s="94">
        <v>11</v>
      </c>
      <c r="S50" s="94">
        <v>13</v>
      </c>
      <c r="T50" s="113">
        <v>2</v>
      </c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</row>
    <row r="51" spans="1:49" ht="15" customHeight="1" x14ac:dyDescent="0.3">
      <c r="A51" s="86" t="s">
        <v>157</v>
      </c>
      <c r="B51" s="87">
        <v>2014</v>
      </c>
      <c r="C51" s="94">
        <f t="shared" si="1"/>
        <v>327</v>
      </c>
      <c r="D51" s="94">
        <v>115</v>
      </c>
      <c r="E51" s="94">
        <v>30</v>
      </c>
      <c r="F51" s="94">
        <v>11</v>
      </c>
      <c r="G51" s="94">
        <v>14</v>
      </c>
      <c r="H51" s="94">
        <v>13</v>
      </c>
      <c r="I51" s="94">
        <v>6</v>
      </c>
      <c r="J51" s="94">
        <v>4</v>
      </c>
      <c r="K51" s="94">
        <v>1</v>
      </c>
      <c r="L51" s="94">
        <v>71</v>
      </c>
      <c r="M51" s="94">
        <v>3</v>
      </c>
      <c r="N51" s="94">
        <v>8</v>
      </c>
      <c r="O51" s="94">
        <v>8</v>
      </c>
      <c r="P51" s="94">
        <v>11</v>
      </c>
      <c r="Q51" s="94">
        <v>6</v>
      </c>
      <c r="R51" s="94">
        <v>10</v>
      </c>
      <c r="S51" s="94">
        <v>13</v>
      </c>
      <c r="T51" s="113">
        <v>3</v>
      </c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</row>
    <row r="52" spans="1:49" ht="15" customHeight="1" x14ac:dyDescent="0.3">
      <c r="A52" s="101" t="s">
        <v>157</v>
      </c>
      <c r="B52" s="102">
        <v>2015</v>
      </c>
      <c r="C52" s="103">
        <f t="shared" si="1"/>
        <v>326</v>
      </c>
      <c r="D52" s="103">
        <v>120</v>
      </c>
      <c r="E52" s="103">
        <v>31</v>
      </c>
      <c r="F52" s="103">
        <v>10</v>
      </c>
      <c r="G52" s="103">
        <v>14</v>
      </c>
      <c r="H52" s="103">
        <v>12</v>
      </c>
      <c r="I52" s="103">
        <v>6</v>
      </c>
      <c r="J52" s="103">
        <v>4</v>
      </c>
      <c r="K52" s="103">
        <v>0</v>
      </c>
      <c r="L52" s="103">
        <v>66</v>
      </c>
      <c r="M52" s="103">
        <v>4</v>
      </c>
      <c r="N52" s="103">
        <v>9</v>
      </c>
      <c r="O52" s="103">
        <v>8</v>
      </c>
      <c r="P52" s="103">
        <v>10</v>
      </c>
      <c r="Q52" s="103">
        <v>5</v>
      </c>
      <c r="R52" s="103">
        <v>11</v>
      </c>
      <c r="S52" s="103">
        <v>13</v>
      </c>
      <c r="T52" s="114">
        <v>3</v>
      </c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</row>
    <row r="53" spans="1:49" ht="15" customHeight="1" x14ac:dyDescent="0.3">
      <c r="A53" s="86" t="s">
        <v>157</v>
      </c>
      <c r="B53" s="87">
        <v>2016</v>
      </c>
      <c r="C53" s="94">
        <f t="shared" si="1"/>
        <v>324</v>
      </c>
      <c r="D53" s="94">
        <v>120</v>
      </c>
      <c r="E53" s="94">
        <v>31</v>
      </c>
      <c r="F53" s="94">
        <v>10</v>
      </c>
      <c r="G53" s="94">
        <v>15</v>
      </c>
      <c r="H53" s="94">
        <v>12</v>
      </c>
      <c r="I53" s="94">
        <v>7</v>
      </c>
      <c r="J53" s="94">
        <v>4</v>
      </c>
      <c r="K53" s="94">
        <v>0</v>
      </c>
      <c r="L53" s="94">
        <v>62</v>
      </c>
      <c r="M53" s="94">
        <v>5</v>
      </c>
      <c r="N53" s="94">
        <v>9</v>
      </c>
      <c r="O53" s="94">
        <v>8</v>
      </c>
      <c r="P53" s="94">
        <v>11</v>
      </c>
      <c r="Q53" s="94">
        <v>4</v>
      </c>
      <c r="R53" s="94">
        <v>9</v>
      </c>
      <c r="S53" s="94">
        <v>13</v>
      </c>
      <c r="T53" s="113">
        <v>4</v>
      </c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</row>
    <row r="54" spans="1:49" ht="15" customHeight="1" x14ac:dyDescent="0.3">
      <c r="A54" s="86" t="s">
        <v>157</v>
      </c>
      <c r="B54" s="87">
        <v>2017</v>
      </c>
      <c r="C54" s="94">
        <f t="shared" si="1"/>
        <v>319</v>
      </c>
      <c r="D54" s="94">
        <v>117</v>
      </c>
      <c r="E54" s="94">
        <v>31</v>
      </c>
      <c r="F54" s="94">
        <v>10</v>
      </c>
      <c r="G54" s="94">
        <v>16</v>
      </c>
      <c r="H54" s="94">
        <v>12</v>
      </c>
      <c r="I54" s="94">
        <v>7</v>
      </c>
      <c r="J54" s="94">
        <v>3</v>
      </c>
      <c r="K54" s="94">
        <v>0</v>
      </c>
      <c r="L54" s="94">
        <v>61</v>
      </c>
      <c r="M54" s="94">
        <v>4</v>
      </c>
      <c r="N54" s="94">
        <v>9</v>
      </c>
      <c r="O54" s="94">
        <v>8</v>
      </c>
      <c r="P54" s="94">
        <v>11</v>
      </c>
      <c r="Q54" s="94">
        <v>5</v>
      </c>
      <c r="R54" s="94">
        <v>9</v>
      </c>
      <c r="S54" s="94">
        <v>12</v>
      </c>
      <c r="T54" s="113">
        <v>4</v>
      </c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</row>
    <row r="55" spans="1:49" ht="15" customHeight="1" x14ac:dyDescent="0.3">
      <c r="A55" s="86" t="s">
        <v>157</v>
      </c>
      <c r="B55" s="87">
        <v>2018</v>
      </c>
      <c r="C55" s="94">
        <f t="shared" si="1"/>
        <v>311</v>
      </c>
      <c r="D55" s="94">
        <v>115</v>
      </c>
      <c r="E55" s="94">
        <v>30</v>
      </c>
      <c r="F55" s="94">
        <v>10</v>
      </c>
      <c r="G55" s="94">
        <v>14</v>
      </c>
      <c r="H55" s="94">
        <v>12</v>
      </c>
      <c r="I55" s="94">
        <v>9</v>
      </c>
      <c r="J55" s="94">
        <v>3</v>
      </c>
      <c r="K55" s="94">
        <v>0</v>
      </c>
      <c r="L55" s="94">
        <v>61</v>
      </c>
      <c r="M55" s="94">
        <v>4</v>
      </c>
      <c r="N55" s="94">
        <v>7</v>
      </c>
      <c r="O55" s="94">
        <v>7</v>
      </c>
      <c r="P55" s="94">
        <v>11</v>
      </c>
      <c r="Q55" s="94">
        <v>5</v>
      </c>
      <c r="R55" s="94">
        <v>8</v>
      </c>
      <c r="S55" s="94">
        <v>11</v>
      </c>
      <c r="T55" s="113">
        <v>4</v>
      </c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</row>
    <row r="56" spans="1:49" ht="15" customHeight="1" x14ac:dyDescent="0.3">
      <c r="A56" s="86" t="s">
        <v>157</v>
      </c>
      <c r="B56" s="87">
        <v>2019</v>
      </c>
      <c r="C56" s="94">
        <f t="shared" si="1"/>
        <v>301</v>
      </c>
      <c r="D56" s="94">
        <v>109</v>
      </c>
      <c r="E56" s="94">
        <v>28</v>
      </c>
      <c r="F56" s="94">
        <v>9</v>
      </c>
      <c r="G56" s="94">
        <v>14</v>
      </c>
      <c r="H56" s="94">
        <v>12</v>
      </c>
      <c r="I56" s="94">
        <v>9</v>
      </c>
      <c r="J56" s="94">
        <v>3</v>
      </c>
      <c r="K56" s="94">
        <v>0</v>
      </c>
      <c r="L56" s="94">
        <v>61</v>
      </c>
      <c r="M56" s="94">
        <v>5</v>
      </c>
      <c r="N56" s="94">
        <v>7</v>
      </c>
      <c r="O56" s="94">
        <v>6</v>
      </c>
      <c r="P56" s="94">
        <v>10</v>
      </c>
      <c r="Q56" s="94">
        <v>5</v>
      </c>
      <c r="R56" s="94">
        <v>8</v>
      </c>
      <c r="S56" s="94">
        <v>11</v>
      </c>
      <c r="T56" s="113">
        <v>4</v>
      </c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</row>
    <row r="57" spans="1:49" ht="15" customHeight="1" x14ac:dyDescent="0.3">
      <c r="A57" s="119" t="s">
        <v>157</v>
      </c>
      <c r="B57" s="120">
        <v>2020</v>
      </c>
      <c r="C57" s="121">
        <f t="shared" si="1"/>
        <v>306</v>
      </c>
      <c r="D57" s="121">
        <v>114</v>
      </c>
      <c r="E57" s="121">
        <v>28</v>
      </c>
      <c r="F57" s="121">
        <v>10</v>
      </c>
      <c r="G57" s="121">
        <v>15</v>
      </c>
      <c r="H57" s="121">
        <v>12</v>
      </c>
      <c r="I57" s="121">
        <v>9</v>
      </c>
      <c r="J57" s="121">
        <v>3</v>
      </c>
      <c r="K57" s="121">
        <v>0</v>
      </c>
      <c r="L57" s="121">
        <v>63</v>
      </c>
      <c r="M57" s="121">
        <v>4</v>
      </c>
      <c r="N57" s="121">
        <v>7</v>
      </c>
      <c r="O57" s="121">
        <v>6</v>
      </c>
      <c r="P57" s="121">
        <v>9</v>
      </c>
      <c r="Q57" s="121">
        <v>4</v>
      </c>
      <c r="R57" s="121">
        <v>8</v>
      </c>
      <c r="S57" s="121">
        <v>10</v>
      </c>
      <c r="T57" s="122">
        <v>4</v>
      </c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</row>
    <row r="58" spans="1:49" s="110" customFormat="1" ht="15" customHeight="1" x14ac:dyDescent="0.3">
      <c r="A58" s="86" t="s">
        <v>157</v>
      </c>
      <c r="B58" s="87">
        <v>2021</v>
      </c>
      <c r="C58" s="94">
        <v>293</v>
      </c>
      <c r="D58" s="94">
        <v>107</v>
      </c>
      <c r="E58" s="94">
        <v>28</v>
      </c>
      <c r="F58" s="94">
        <v>9</v>
      </c>
      <c r="G58" s="94">
        <v>15</v>
      </c>
      <c r="H58" s="94">
        <v>12</v>
      </c>
      <c r="I58" s="94">
        <v>9</v>
      </c>
      <c r="J58" s="94">
        <v>3</v>
      </c>
      <c r="K58" s="94">
        <v>0</v>
      </c>
      <c r="L58" s="94">
        <v>60</v>
      </c>
      <c r="M58" s="94">
        <v>4</v>
      </c>
      <c r="N58" s="94">
        <v>7</v>
      </c>
      <c r="O58" s="94">
        <v>6</v>
      </c>
      <c r="P58" s="94">
        <v>9</v>
      </c>
      <c r="Q58" s="94">
        <v>3</v>
      </c>
      <c r="R58" s="94">
        <v>8</v>
      </c>
      <c r="S58" s="94">
        <v>9</v>
      </c>
      <c r="T58" s="113">
        <v>4</v>
      </c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</row>
    <row r="59" spans="1:49" s="117" customFormat="1" ht="15" customHeight="1" x14ac:dyDescent="0.3">
      <c r="A59" s="105" t="s">
        <v>194</v>
      </c>
      <c r="B59" s="106">
        <v>2022</v>
      </c>
      <c r="C59" s="107">
        <f>SUM(D59:T59)</f>
        <v>281</v>
      </c>
      <c r="D59" s="107">
        <v>105</v>
      </c>
      <c r="E59" s="107">
        <v>27</v>
      </c>
      <c r="F59" s="107">
        <v>8</v>
      </c>
      <c r="G59" s="107">
        <v>14</v>
      </c>
      <c r="H59" s="107">
        <v>12</v>
      </c>
      <c r="I59" s="107">
        <v>8</v>
      </c>
      <c r="J59" s="107">
        <v>3</v>
      </c>
      <c r="K59" s="107">
        <v>0</v>
      </c>
      <c r="L59" s="107">
        <v>59</v>
      </c>
      <c r="M59" s="107">
        <v>3</v>
      </c>
      <c r="N59" s="107">
        <v>7</v>
      </c>
      <c r="O59" s="107">
        <v>4</v>
      </c>
      <c r="P59" s="107">
        <v>7</v>
      </c>
      <c r="Q59" s="107">
        <v>3</v>
      </c>
      <c r="R59" s="107">
        <v>8</v>
      </c>
      <c r="S59" s="107">
        <v>9</v>
      </c>
      <c r="T59" s="112">
        <v>4</v>
      </c>
    </row>
    <row r="60" spans="1:49" s="117" customFormat="1" ht="15" customHeight="1" x14ac:dyDescent="0.3">
      <c r="A60" s="105" t="s">
        <v>157</v>
      </c>
      <c r="B60" s="106">
        <v>2023</v>
      </c>
      <c r="C60" s="107">
        <f>SUM(D60:T60)</f>
        <v>275</v>
      </c>
      <c r="D60" s="107">
        <v>99</v>
      </c>
      <c r="E60" s="107">
        <v>27</v>
      </c>
      <c r="F60" s="107">
        <v>8</v>
      </c>
      <c r="G60" s="107">
        <v>14</v>
      </c>
      <c r="H60" s="107">
        <v>12</v>
      </c>
      <c r="I60" s="107">
        <v>8</v>
      </c>
      <c r="J60" s="107">
        <v>3</v>
      </c>
      <c r="K60" s="107">
        <v>0</v>
      </c>
      <c r="L60" s="107">
        <v>60</v>
      </c>
      <c r="M60" s="107">
        <v>3</v>
      </c>
      <c r="N60" s="107">
        <v>7</v>
      </c>
      <c r="O60" s="107">
        <v>4</v>
      </c>
      <c r="P60" s="107">
        <v>7</v>
      </c>
      <c r="Q60" s="107">
        <v>3</v>
      </c>
      <c r="R60" s="107">
        <v>8</v>
      </c>
      <c r="S60" s="107">
        <v>8</v>
      </c>
      <c r="T60" s="112">
        <v>4</v>
      </c>
    </row>
    <row r="61" spans="1:49" s="117" customFormat="1" ht="15" customHeight="1" x14ac:dyDescent="0.3">
      <c r="A61" s="123" t="s">
        <v>157</v>
      </c>
      <c r="B61" s="124">
        <v>2024</v>
      </c>
      <c r="C61" s="125">
        <f>SUM(D61:T61)</f>
        <v>257</v>
      </c>
      <c r="D61" s="125">
        <v>91</v>
      </c>
      <c r="E61" s="125">
        <v>25</v>
      </c>
      <c r="F61" s="125">
        <v>8</v>
      </c>
      <c r="G61" s="125">
        <v>13</v>
      </c>
      <c r="H61" s="125">
        <v>12</v>
      </c>
      <c r="I61" s="125">
        <v>8</v>
      </c>
      <c r="J61" s="125">
        <v>3</v>
      </c>
      <c r="K61" s="125">
        <v>0</v>
      </c>
      <c r="L61" s="125">
        <v>56</v>
      </c>
      <c r="M61" s="125">
        <v>3</v>
      </c>
      <c r="N61" s="125">
        <v>6</v>
      </c>
      <c r="O61" s="125">
        <v>4</v>
      </c>
      <c r="P61" s="125">
        <v>6</v>
      </c>
      <c r="Q61" s="125">
        <v>2</v>
      </c>
      <c r="R61" s="125">
        <v>8</v>
      </c>
      <c r="S61" s="125">
        <v>8</v>
      </c>
      <c r="T61" s="126">
        <v>4</v>
      </c>
    </row>
    <row r="62" spans="1:49" s="88" customFormat="1" ht="15" customHeight="1" x14ac:dyDescent="0.3">
      <c r="A62" s="105" t="s">
        <v>158</v>
      </c>
      <c r="B62" s="106">
        <v>2011</v>
      </c>
      <c r="C62" s="107">
        <f t="shared" si="1"/>
        <v>955</v>
      </c>
      <c r="D62" s="107">
        <v>136</v>
      </c>
      <c r="E62" s="107">
        <v>52</v>
      </c>
      <c r="F62" s="107">
        <v>59</v>
      </c>
      <c r="G62" s="107">
        <v>51</v>
      </c>
      <c r="H62" s="107">
        <v>47</v>
      </c>
      <c r="I62" s="107">
        <v>46</v>
      </c>
      <c r="J62" s="107">
        <v>12</v>
      </c>
      <c r="K62" s="108"/>
      <c r="L62" s="107">
        <v>105</v>
      </c>
      <c r="M62" s="107">
        <v>45</v>
      </c>
      <c r="N62" s="107">
        <v>83</v>
      </c>
      <c r="O62" s="107">
        <v>58</v>
      </c>
      <c r="P62" s="107">
        <v>74</v>
      </c>
      <c r="Q62" s="107">
        <v>44</v>
      </c>
      <c r="R62" s="107">
        <v>55</v>
      </c>
      <c r="S62" s="107">
        <v>58</v>
      </c>
      <c r="T62" s="112">
        <v>30</v>
      </c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</row>
    <row r="63" spans="1:49" s="88" customFormat="1" ht="15" customHeight="1" x14ac:dyDescent="0.3">
      <c r="A63" s="86" t="s">
        <v>158</v>
      </c>
      <c r="B63" s="87">
        <v>2012</v>
      </c>
      <c r="C63" s="94">
        <f t="shared" si="1"/>
        <v>949</v>
      </c>
      <c r="D63" s="94">
        <v>136</v>
      </c>
      <c r="E63" s="94">
        <v>52</v>
      </c>
      <c r="F63" s="94">
        <v>59</v>
      </c>
      <c r="G63" s="94">
        <v>50</v>
      </c>
      <c r="H63" s="94">
        <v>47</v>
      </c>
      <c r="I63" s="94">
        <v>45</v>
      </c>
      <c r="J63" s="94">
        <v>12</v>
      </c>
      <c r="K63" s="94">
        <v>5</v>
      </c>
      <c r="L63" s="94">
        <v>104</v>
      </c>
      <c r="M63" s="94">
        <v>44</v>
      </c>
      <c r="N63" s="94">
        <v>81</v>
      </c>
      <c r="O63" s="94">
        <v>54</v>
      </c>
      <c r="P63" s="94">
        <v>74</v>
      </c>
      <c r="Q63" s="94">
        <v>44</v>
      </c>
      <c r="R63" s="94">
        <v>54</v>
      </c>
      <c r="S63" s="94">
        <v>58</v>
      </c>
      <c r="T63" s="113">
        <v>30</v>
      </c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</row>
    <row r="64" spans="1:49" s="88" customFormat="1" ht="15" customHeight="1" x14ac:dyDescent="0.3">
      <c r="A64" s="86" t="s">
        <v>158</v>
      </c>
      <c r="B64" s="87">
        <v>2013</v>
      </c>
      <c r="C64" s="94">
        <f t="shared" si="1"/>
        <v>942</v>
      </c>
      <c r="D64" s="94">
        <v>135</v>
      </c>
      <c r="E64" s="94">
        <v>52</v>
      </c>
      <c r="F64" s="94">
        <v>59</v>
      </c>
      <c r="G64" s="94">
        <v>49</v>
      </c>
      <c r="H64" s="94">
        <v>47</v>
      </c>
      <c r="I64" s="94">
        <v>45</v>
      </c>
      <c r="J64" s="94">
        <v>12</v>
      </c>
      <c r="K64" s="94">
        <v>6</v>
      </c>
      <c r="L64" s="94">
        <v>100</v>
      </c>
      <c r="M64" s="94">
        <v>43</v>
      </c>
      <c r="N64" s="94">
        <v>81</v>
      </c>
      <c r="O64" s="94">
        <v>54</v>
      </c>
      <c r="P64" s="94">
        <v>74</v>
      </c>
      <c r="Q64" s="94">
        <v>44</v>
      </c>
      <c r="R64" s="94">
        <v>53</v>
      </c>
      <c r="S64" s="94">
        <v>58</v>
      </c>
      <c r="T64" s="113">
        <v>30</v>
      </c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</row>
    <row r="65" spans="1:49" s="88" customFormat="1" ht="15" customHeight="1" x14ac:dyDescent="0.3">
      <c r="A65" s="86" t="s">
        <v>158</v>
      </c>
      <c r="B65" s="87">
        <v>2014</v>
      </c>
      <c r="C65" s="94">
        <f t="shared" si="1"/>
        <v>923</v>
      </c>
      <c r="D65" s="94">
        <v>131</v>
      </c>
      <c r="E65" s="94">
        <v>52</v>
      </c>
      <c r="F65" s="94">
        <v>58</v>
      </c>
      <c r="G65" s="94">
        <v>48</v>
      </c>
      <c r="H65" s="94">
        <v>47</v>
      </c>
      <c r="I65" s="94">
        <v>44</v>
      </c>
      <c r="J65" s="94">
        <v>12</v>
      </c>
      <c r="K65" s="94">
        <v>5</v>
      </c>
      <c r="L65" s="94">
        <v>98</v>
      </c>
      <c r="M65" s="94">
        <v>39</v>
      </c>
      <c r="N65" s="94">
        <v>81</v>
      </c>
      <c r="O65" s="94">
        <v>54</v>
      </c>
      <c r="P65" s="94">
        <v>72</v>
      </c>
      <c r="Q65" s="94">
        <v>46</v>
      </c>
      <c r="R65" s="94">
        <v>49</v>
      </c>
      <c r="S65" s="94">
        <v>57</v>
      </c>
      <c r="T65" s="113">
        <v>30</v>
      </c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</row>
    <row r="66" spans="1:49" s="88" customFormat="1" ht="15" customHeight="1" x14ac:dyDescent="0.3">
      <c r="A66" s="101" t="s">
        <v>158</v>
      </c>
      <c r="B66" s="102">
        <v>2015</v>
      </c>
      <c r="C66" s="103">
        <f t="shared" si="1"/>
        <v>910</v>
      </c>
      <c r="D66" s="103">
        <v>129</v>
      </c>
      <c r="E66" s="103">
        <v>52</v>
      </c>
      <c r="F66" s="103">
        <v>56</v>
      </c>
      <c r="G66" s="103">
        <v>48</v>
      </c>
      <c r="H66" s="103">
        <v>46</v>
      </c>
      <c r="I66" s="103">
        <v>44</v>
      </c>
      <c r="J66" s="103">
        <v>11</v>
      </c>
      <c r="K66" s="103">
        <v>6</v>
      </c>
      <c r="L66" s="103">
        <v>97</v>
      </c>
      <c r="M66" s="103">
        <v>39</v>
      </c>
      <c r="N66" s="103">
        <v>80</v>
      </c>
      <c r="O66" s="103">
        <v>52</v>
      </c>
      <c r="P66" s="103">
        <v>72</v>
      </c>
      <c r="Q66" s="103">
        <v>46</v>
      </c>
      <c r="R66" s="103">
        <v>48</v>
      </c>
      <c r="S66" s="103">
        <v>54</v>
      </c>
      <c r="T66" s="114">
        <v>30</v>
      </c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</row>
    <row r="67" spans="1:49" s="88" customFormat="1" ht="15" customHeight="1" x14ac:dyDescent="0.3">
      <c r="A67" s="86" t="s">
        <v>158</v>
      </c>
      <c r="B67" s="87">
        <v>2016</v>
      </c>
      <c r="C67" s="94">
        <f t="shared" si="1"/>
        <v>904</v>
      </c>
      <c r="D67" s="94">
        <v>127</v>
      </c>
      <c r="E67" s="94">
        <v>50</v>
      </c>
      <c r="F67" s="94">
        <v>56</v>
      </c>
      <c r="G67" s="94">
        <v>47</v>
      </c>
      <c r="H67" s="94">
        <v>45</v>
      </c>
      <c r="I67" s="94">
        <v>44</v>
      </c>
      <c r="J67" s="94">
        <v>11</v>
      </c>
      <c r="K67" s="94">
        <v>6</v>
      </c>
      <c r="L67" s="94">
        <v>96</v>
      </c>
      <c r="M67" s="94">
        <v>39</v>
      </c>
      <c r="N67" s="94">
        <v>81</v>
      </c>
      <c r="O67" s="94">
        <v>52</v>
      </c>
      <c r="P67" s="94">
        <v>72</v>
      </c>
      <c r="Q67" s="94">
        <v>46</v>
      </c>
      <c r="R67" s="94">
        <v>48</v>
      </c>
      <c r="S67" s="94">
        <v>54</v>
      </c>
      <c r="T67" s="113">
        <v>30</v>
      </c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  <c r="AV67" s="118"/>
      <c r="AW67" s="118"/>
    </row>
    <row r="68" spans="1:49" s="88" customFormat="1" ht="15" customHeight="1" x14ac:dyDescent="0.3">
      <c r="A68" s="86" t="s">
        <v>158</v>
      </c>
      <c r="B68" s="87">
        <v>2017</v>
      </c>
      <c r="C68" s="94">
        <f t="shared" si="1"/>
        <v>898</v>
      </c>
      <c r="D68" s="94">
        <v>125</v>
      </c>
      <c r="E68" s="94">
        <v>50</v>
      </c>
      <c r="F68" s="94">
        <v>56</v>
      </c>
      <c r="G68" s="94">
        <v>47</v>
      </c>
      <c r="H68" s="94">
        <v>45</v>
      </c>
      <c r="I68" s="94">
        <v>44</v>
      </c>
      <c r="J68" s="94">
        <v>10</v>
      </c>
      <c r="K68" s="94">
        <v>6</v>
      </c>
      <c r="L68" s="94">
        <v>96</v>
      </c>
      <c r="M68" s="94">
        <v>39</v>
      </c>
      <c r="N68" s="94">
        <v>81</v>
      </c>
      <c r="O68" s="94">
        <v>52</v>
      </c>
      <c r="P68" s="94">
        <v>72</v>
      </c>
      <c r="Q68" s="94">
        <v>45</v>
      </c>
      <c r="R68" s="94">
        <v>47</v>
      </c>
      <c r="S68" s="94">
        <v>53</v>
      </c>
      <c r="T68" s="113">
        <v>30</v>
      </c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</row>
    <row r="69" spans="1:49" s="88" customFormat="1" ht="15" customHeight="1" x14ac:dyDescent="0.3">
      <c r="A69" s="86" t="s">
        <v>158</v>
      </c>
      <c r="B69" s="87">
        <v>2018</v>
      </c>
      <c r="C69" s="94">
        <f t="shared" si="1"/>
        <v>888</v>
      </c>
      <c r="D69" s="94">
        <v>120</v>
      </c>
      <c r="E69" s="94">
        <v>48</v>
      </c>
      <c r="F69" s="94">
        <v>55</v>
      </c>
      <c r="G69" s="94">
        <v>47</v>
      </c>
      <c r="H69" s="94">
        <v>44</v>
      </c>
      <c r="I69" s="94">
        <v>44</v>
      </c>
      <c r="J69" s="94">
        <v>10</v>
      </c>
      <c r="K69" s="94">
        <v>6</v>
      </c>
      <c r="L69" s="94">
        <v>95</v>
      </c>
      <c r="M69" s="94">
        <v>39</v>
      </c>
      <c r="N69" s="94">
        <v>81</v>
      </c>
      <c r="O69" s="94">
        <v>52</v>
      </c>
      <c r="P69" s="94">
        <v>71</v>
      </c>
      <c r="Q69" s="94">
        <v>45</v>
      </c>
      <c r="R69" s="94">
        <v>48</v>
      </c>
      <c r="S69" s="94">
        <v>53</v>
      </c>
      <c r="T69" s="113">
        <v>30</v>
      </c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</row>
    <row r="70" spans="1:49" s="88" customFormat="1" ht="15" customHeight="1" x14ac:dyDescent="0.3">
      <c r="A70" s="86" t="s">
        <v>158</v>
      </c>
      <c r="B70" s="87">
        <v>2019</v>
      </c>
      <c r="C70" s="94">
        <f t="shared" si="1"/>
        <v>883</v>
      </c>
      <c r="D70" s="94">
        <v>119</v>
      </c>
      <c r="E70" s="94">
        <v>48</v>
      </c>
      <c r="F70" s="94">
        <v>53</v>
      </c>
      <c r="G70" s="94">
        <v>46</v>
      </c>
      <c r="H70" s="94">
        <v>44</v>
      </c>
      <c r="I70" s="94">
        <v>44</v>
      </c>
      <c r="J70" s="94">
        <v>10</v>
      </c>
      <c r="K70" s="94">
        <v>6</v>
      </c>
      <c r="L70" s="94">
        <v>95</v>
      </c>
      <c r="M70" s="94">
        <v>39</v>
      </c>
      <c r="N70" s="94">
        <v>81</v>
      </c>
      <c r="O70" s="94">
        <v>52</v>
      </c>
      <c r="P70" s="94">
        <v>71</v>
      </c>
      <c r="Q70" s="94">
        <v>45</v>
      </c>
      <c r="R70" s="94">
        <v>47</v>
      </c>
      <c r="S70" s="94">
        <v>53</v>
      </c>
      <c r="T70" s="113">
        <v>30</v>
      </c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</row>
    <row r="71" spans="1:49" s="88" customFormat="1" ht="15" customHeight="1" x14ac:dyDescent="0.3">
      <c r="A71" s="119" t="s">
        <v>158</v>
      </c>
      <c r="B71" s="120">
        <v>2020</v>
      </c>
      <c r="C71" s="121">
        <f t="shared" si="1"/>
        <v>879</v>
      </c>
      <c r="D71" s="121">
        <v>118</v>
      </c>
      <c r="E71" s="121">
        <v>48</v>
      </c>
      <c r="F71" s="121">
        <v>53</v>
      </c>
      <c r="G71" s="121">
        <v>46</v>
      </c>
      <c r="H71" s="121">
        <v>44</v>
      </c>
      <c r="I71" s="121">
        <v>43</v>
      </c>
      <c r="J71" s="121">
        <v>10</v>
      </c>
      <c r="K71" s="121">
        <v>6</v>
      </c>
      <c r="L71" s="121">
        <v>95</v>
      </c>
      <c r="M71" s="121">
        <v>39</v>
      </c>
      <c r="N71" s="121">
        <v>81</v>
      </c>
      <c r="O71" s="121">
        <v>52</v>
      </c>
      <c r="P71" s="121">
        <v>71</v>
      </c>
      <c r="Q71" s="121">
        <v>44</v>
      </c>
      <c r="R71" s="121">
        <v>47</v>
      </c>
      <c r="S71" s="121">
        <v>53</v>
      </c>
      <c r="T71" s="122">
        <v>29</v>
      </c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</row>
    <row r="72" spans="1:49" s="111" customFormat="1" ht="15" customHeight="1" x14ac:dyDescent="0.3">
      <c r="A72" s="86" t="s">
        <v>158</v>
      </c>
      <c r="B72" s="87">
        <v>2021</v>
      </c>
      <c r="C72" s="94">
        <v>873</v>
      </c>
      <c r="D72" s="94">
        <v>116</v>
      </c>
      <c r="E72" s="94">
        <v>47</v>
      </c>
      <c r="F72" s="94">
        <v>53</v>
      </c>
      <c r="G72" s="94">
        <v>46</v>
      </c>
      <c r="H72" s="94">
        <v>44</v>
      </c>
      <c r="I72" s="94">
        <v>42</v>
      </c>
      <c r="J72" s="94">
        <v>10</v>
      </c>
      <c r="K72" s="94">
        <v>6</v>
      </c>
      <c r="L72" s="94">
        <v>95</v>
      </c>
      <c r="M72" s="94">
        <v>39</v>
      </c>
      <c r="N72" s="94">
        <v>81</v>
      </c>
      <c r="O72" s="94">
        <v>52</v>
      </c>
      <c r="P72" s="94">
        <v>70</v>
      </c>
      <c r="Q72" s="94">
        <v>44</v>
      </c>
      <c r="R72" s="94">
        <v>47</v>
      </c>
      <c r="S72" s="94">
        <v>52</v>
      </c>
      <c r="T72" s="113">
        <v>29</v>
      </c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</row>
    <row r="73" spans="1:49" s="117" customFormat="1" ht="15" customHeight="1" x14ac:dyDescent="0.3">
      <c r="A73" s="105" t="s">
        <v>158</v>
      </c>
      <c r="B73" s="106">
        <v>2022</v>
      </c>
      <c r="C73" s="107">
        <f>SUM(D73:T73)</f>
        <v>870</v>
      </c>
      <c r="D73" s="107">
        <v>114</v>
      </c>
      <c r="E73" s="107">
        <v>47</v>
      </c>
      <c r="F73" s="107">
        <v>53</v>
      </c>
      <c r="G73" s="107">
        <v>45</v>
      </c>
      <c r="H73" s="107">
        <v>44</v>
      </c>
      <c r="I73" s="107">
        <v>42</v>
      </c>
      <c r="J73" s="107">
        <v>10</v>
      </c>
      <c r="K73" s="107">
        <v>6</v>
      </c>
      <c r="L73" s="107">
        <v>95</v>
      </c>
      <c r="M73" s="107">
        <v>39</v>
      </c>
      <c r="N73" s="107">
        <v>81</v>
      </c>
      <c r="O73" s="107">
        <v>52</v>
      </c>
      <c r="P73" s="107">
        <v>70</v>
      </c>
      <c r="Q73" s="107">
        <v>44</v>
      </c>
      <c r="R73" s="107">
        <v>47</v>
      </c>
      <c r="S73" s="107">
        <v>52</v>
      </c>
      <c r="T73" s="112">
        <v>29</v>
      </c>
    </row>
    <row r="74" spans="1:49" s="117" customFormat="1" ht="15" customHeight="1" x14ac:dyDescent="0.3">
      <c r="A74" s="105" t="s">
        <v>158</v>
      </c>
      <c r="B74" s="106">
        <v>2023</v>
      </c>
      <c r="C74" s="107">
        <f>SUM(D74:T74)</f>
        <v>869</v>
      </c>
      <c r="D74" s="107">
        <v>115</v>
      </c>
      <c r="E74" s="107">
        <v>47</v>
      </c>
      <c r="F74" s="107">
        <v>53</v>
      </c>
      <c r="G74" s="107">
        <v>45</v>
      </c>
      <c r="H74" s="107">
        <v>44</v>
      </c>
      <c r="I74" s="107">
        <v>42</v>
      </c>
      <c r="J74" s="107">
        <v>10</v>
      </c>
      <c r="K74" s="107">
        <v>7</v>
      </c>
      <c r="L74" s="107">
        <v>93</v>
      </c>
      <c r="M74" s="107">
        <v>38</v>
      </c>
      <c r="N74" s="107">
        <v>81</v>
      </c>
      <c r="O74" s="107">
        <v>52</v>
      </c>
      <c r="P74" s="107">
        <v>70</v>
      </c>
      <c r="Q74" s="107">
        <v>44</v>
      </c>
      <c r="R74" s="107">
        <v>47</v>
      </c>
      <c r="S74" s="107">
        <v>52</v>
      </c>
      <c r="T74" s="112">
        <v>29</v>
      </c>
    </row>
    <row r="75" spans="1:49" s="117" customFormat="1" ht="15" customHeight="1" x14ac:dyDescent="0.3">
      <c r="A75" s="123" t="s">
        <v>158</v>
      </c>
      <c r="B75" s="124">
        <v>2024</v>
      </c>
      <c r="C75" s="125">
        <f>SUM(D75:T75)</f>
        <v>866</v>
      </c>
      <c r="D75" s="125">
        <v>115</v>
      </c>
      <c r="E75" s="125">
        <v>47</v>
      </c>
      <c r="F75" s="125">
        <v>53</v>
      </c>
      <c r="G75" s="125">
        <v>45</v>
      </c>
      <c r="H75" s="125">
        <v>43</v>
      </c>
      <c r="I75" s="125">
        <v>42</v>
      </c>
      <c r="J75" s="125">
        <v>10</v>
      </c>
      <c r="K75" s="125">
        <v>7</v>
      </c>
      <c r="L75" s="125">
        <v>94</v>
      </c>
      <c r="M75" s="125">
        <v>38</v>
      </c>
      <c r="N75" s="125">
        <v>80</v>
      </c>
      <c r="O75" s="125">
        <v>52</v>
      </c>
      <c r="P75" s="125">
        <v>70</v>
      </c>
      <c r="Q75" s="125">
        <v>44</v>
      </c>
      <c r="R75" s="125">
        <v>47</v>
      </c>
      <c r="S75" s="125">
        <v>50</v>
      </c>
      <c r="T75" s="126">
        <v>29</v>
      </c>
    </row>
    <row r="76" spans="1:49" s="88" customFormat="1" ht="15" customHeight="1" x14ac:dyDescent="0.3">
      <c r="A76" s="105" t="s">
        <v>160</v>
      </c>
      <c r="B76" s="106">
        <v>2011</v>
      </c>
      <c r="C76" s="107">
        <f t="shared" ref="C76:C85" si="2">SUM(D76:T76)</f>
        <v>1390</v>
      </c>
      <c r="D76" s="107">
        <v>23</v>
      </c>
      <c r="E76" s="107">
        <v>24</v>
      </c>
      <c r="F76" s="107">
        <v>25</v>
      </c>
      <c r="G76" s="107">
        <v>27</v>
      </c>
      <c r="H76" s="107">
        <v>18</v>
      </c>
      <c r="I76" s="107">
        <v>16</v>
      </c>
      <c r="J76" s="107">
        <v>19</v>
      </c>
      <c r="K76" s="108"/>
      <c r="L76" s="107">
        <v>179</v>
      </c>
      <c r="M76" s="107">
        <v>107</v>
      </c>
      <c r="N76" s="107">
        <v>81</v>
      </c>
      <c r="O76" s="107">
        <v>167</v>
      </c>
      <c r="P76" s="107">
        <v>112</v>
      </c>
      <c r="Q76" s="107">
        <v>189</v>
      </c>
      <c r="R76" s="107">
        <v>194</v>
      </c>
      <c r="S76" s="107">
        <v>177</v>
      </c>
      <c r="T76" s="112">
        <v>32</v>
      </c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</row>
    <row r="77" spans="1:49" s="88" customFormat="1" ht="15" customHeight="1" x14ac:dyDescent="0.3">
      <c r="A77" s="86" t="s">
        <v>160</v>
      </c>
      <c r="B77" s="87">
        <v>2012</v>
      </c>
      <c r="C77" s="94">
        <f t="shared" si="2"/>
        <v>1390</v>
      </c>
      <c r="D77" s="94">
        <v>23</v>
      </c>
      <c r="E77" s="94">
        <v>22</v>
      </c>
      <c r="F77" s="94">
        <v>21</v>
      </c>
      <c r="G77" s="94">
        <v>27</v>
      </c>
      <c r="H77" s="94">
        <v>16</v>
      </c>
      <c r="I77" s="94">
        <v>15</v>
      </c>
      <c r="J77" s="94">
        <v>19</v>
      </c>
      <c r="K77" s="94">
        <v>9</v>
      </c>
      <c r="L77" s="94">
        <v>179</v>
      </c>
      <c r="M77" s="94">
        <v>107</v>
      </c>
      <c r="N77" s="94">
        <v>80</v>
      </c>
      <c r="O77" s="94">
        <v>161</v>
      </c>
      <c r="P77" s="94">
        <v>112</v>
      </c>
      <c r="Q77" s="94">
        <v>190</v>
      </c>
      <c r="R77" s="94">
        <v>199</v>
      </c>
      <c r="S77" s="94">
        <v>178</v>
      </c>
      <c r="T77" s="113">
        <v>32</v>
      </c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</row>
    <row r="78" spans="1:49" s="88" customFormat="1" ht="15" customHeight="1" x14ac:dyDescent="0.3">
      <c r="A78" s="86" t="s">
        <v>160</v>
      </c>
      <c r="B78" s="87">
        <v>2013</v>
      </c>
      <c r="C78" s="94">
        <f t="shared" si="2"/>
        <v>1386</v>
      </c>
      <c r="D78" s="94">
        <v>23</v>
      </c>
      <c r="E78" s="94">
        <v>22</v>
      </c>
      <c r="F78" s="94">
        <v>21</v>
      </c>
      <c r="G78" s="94">
        <v>27</v>
      </c>
      <c r="H78" s="94">
        <v>16</v>
      </c>
      <c r="I78" s="94">
        <v>15</v>
      </c>
      <c r="J78" s="94">
        <v>19</v>
      </c>
      <c r="K78" s="94">
        <v>9</v>
      </c>
      <c r="L78" s="94">
        <v>179</v>
      </c>
      <c r="M78" s="94">
        <v>107</v>
      </c>
      <c r="N78" s="94">
        <v>80</v>
      </c>
      <c r="O78" s="94">
        <v>158</v>
      </c>
      <c r="P78" s="94">
        <v>111</v>
      </c>
      <c r="Q78" s="94">
        <v>190</v>
      </c>
      <c r="R78" s="94">
        <v>199</v>
      </c>
      <c r="S78" s="94">
        <v>178</v>
      </c>
      <c r="T78" s="113">
        <v>32</v>
      </c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</row>
    <row r="79" spans="1:49" s="88" customFormat="1" ht="15" customHeight="1" x14ac:dyDescent="0.3">
      <c r="A79" s="86" t="s">
        <v>160</v>
      </c>
      <c r="B79" s="87">
        <v>2014</v>
      </c>
      <c r="C79" s="94">
        <f t="shared" si="2"/>
        <v>1380</v>
      </c>
      <c r="D79" s="94">
        <v>23</v>
      </c>
      <c r="E79" s="94">
        <v>24</v>
      </c>
      <c r="F79" s="94">
        <v>21</v>
      </c>
      <c r="G79" s="94">
        <v>27</v>
      </c>
      <c r="H79" s="94">
        <v>16</v>
      </c>
      <c r="I79" s="94">
        <v>15</v>
      </c>
      <c r="J79" s="94">
        <v>19</v>
      </c>
      <c r="K79" s="94">
        <v>9</v>
      </c>
      <c r="L79" s="94">
        <v>179</v>
      </c>
      <c r="M79" s="94">
        <v>106</v>
      </c>
      <c r="N79" s="94">
        <v>79</v>
      </c>
      <c r="O79" s="94">
        <v>157</v>
      </c>
      <c r="P79" s="94">
        <v>111</v>
      </c>
      <c r="Q79" s="94">
        <v>189</v>
      </c>
      <c r="R79" s="94">
        <v>197</v>
      </c>
      <c r="S79" s="94">
        <v>176</v>
      </c>
      <c r="T79" s="113">
        <v>32</v>
      </c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</row>
    <row r="80" spans="1:49" s="88" customFormat="1" ht="15" customHeight="1" x14ac:dyDescent="0.3">
      <c r="A80" s="101" t="s">
        <v>160</v>
      </c>
      <c r="B80" s="102">
        <v>2015</v>
      </c>
      <c r="C80" s="103">
        <f t="shared" si="2"/>
        <v>1360</v>
      </c>
      <c r="D80" s="103">
        <v>23</v>
      </c>
      <c r="E80" s="103">
        <v>24</v>
      </c>
      <c r="F80" s="103">
        <v>25</v>
      </c>
      <c r="G80" s="103">
        <v>22</v>
      </c>
      <c r="H80" s="103">
        <v>18</v>
      </c>
      <c r="I80" s="103">
        <v>16</v>
      </c>
      <c r="J80" s="103">
        <v>19</v>
      </c>
      <c r="K80" s="103">
        <v>9</v>
      </c>
      <c r="L80" s="103">
        <v>178</v>
      </c>
      <c r="M80" s="103">
        <v>105</v>
      </c>
      <c r="N80" s="103">
        <v>76</v>
      </c>
      <c r="O80" s="103">
        <v>154</v>
      </c>
      <c r="P80" s="103">
        <v>110</v>
      </c>
      <c r="Q80" s="103">
        <v>185</v>
      </c>
      <c r="R80" s="103">
        <v>189</v>
      </c>
      <c r="S80" s="103">
        <v>175</v>
      </c>
      <c r="T80" s="114">
        <v>32</v>
      </c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</row>
    <row r="81" spans="1:49" s="88" customFormat="1" ht="15" customHeight="1" x14ac:dyDescent="0.3">
      <c r="A81" s="86" t="s">
        <v>160</v>
      </c>
      <c r="B81" s="87">
        <v>2016</v>
      </c>
      <c r="C81" s="94">
        <f t="shared" si="2"/>
        <v>1357</v>
      </c>
      <c r="D81" s="94">
        <v>23</v>
      </c>
      <c r="E81" s="94">
        <v>24</v>
      </c>
      <c r="F81" s="94">
        <v>25</v>
      </c>
      <c r="G81" s="94">
        <v>22</v>
      </c>
      <c r="H81" s="94">
        <v>18</v>
      </c>
      <c r="I81" s="94">
        <v>16</v>
      </c>
      <c r="J81" s="94">
        <v>19</v>
      </c>
      <c r="K81" s="94">
        <v>9</v>
      </c>
      <c r="L81" s="94">
        <v>178</v>
      </c>
      <c r="M81" s="94">
        <v>105</v>
      </c>
      <c r="N81" s="94">
        <v>76</v>
      </c>
      <c r="O81" s="94">
        <v>154</v>
      </c>
      <c r="P81" s="94">
        <v>110</v>
      </c>
      <c r="Q81" s="94">
        <v>183</v>
      </c>
      <c r="R81" s="94">
        <v>189</v>
      </c>
      <c r="S81" s="94">
        <v>174</v>
      </c>
      <c r="T81" s="113">
        <v>32</v>
      </c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  <c r="AU81" s="118"/>
      <c r="AV81" s="118"/>
      <c r="AW81" s="118"/>
    </row>
    <row r="82" spans="1:49" s="88" customFormat="1" ht="15" customHeight="1" x14ac:dyDescent="0.3">
      <c r="A82" s="86" t="s">
        <v>160</v>
      </c>
      <c r="B82" s="87">
        <v>2017</v>
      </c>
      <c r="C82" s="94">
        <f t="shared" si="2"/>
        <v>1358</v>
      </c>
      <c r="D82" s="94">
        <v>23</v>
      </c>
      <c r="E82" s="94">
        <v>24</v>
      </c>
      <c r="F82" s="94">
        <v>25</v>
      </c>
      <c r="G82" s="94">
        <v>22</v>
      </c>
      <c r="H82" s="94">
        <v>18</v>
      </c>
      <c r="I82" s="94">
        <v>16</v>
      </c>
      <c r="J82" s="94">
        <v>19</v>
      </c>
      <c r="K82" s="94">
        <v>9</v>
      </c>
      <c r="L82" s="94">
        <v>178</v>
      </c>
      <c r="M82" s="94">
        <v>105</v>
      </c>
      <c r="N82" s="94">
        <v>76</v>
      </c>
      <c r="O82" s="94">
        <v>154</v>
      </c>
      <c r="P82" s="94">
        <v>110</v>
      </c>
      <c r="Q82" s="94">
        <v>184</v>
      </c>
      <c r="R82" s="94">
        <v>189</v>
      </c>
      <c r="S82" s="94">
        <v>174</v>
      </c>
      <c r="T82" s="113">
        <v>32</v>
      </c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</row>
    <row r="83" spans="1:49" s="88" customFormat="1" ht="15" customHeight="1" x14ac:dyDescent="0.3">
      <c r="A83" s="86" t="s">
        <v>160</v>
      </c>
      <c r="B83" s="87">
        <v>2018</v>
      </c>
      <c r="C83" s="94">
        <f t="shared" si="2"/>
        <v>1349</v>
      </c>
      <c r="D83" s="94">
        <v>23</v>
      </c>
      <c r="E83" s="94">
        <v>22</v>
      </c>
      <c r="F83" s="94">
        <v>21</v>
      </c>
      <c r="G83" s="94">
        <v>21</v>
      </c>
      <c r="H83" s="94">
        <v>16</v>
      </c>
      <c r="I83" s="94">
        <v>15</v>
      </c>
      <c r="J83" s="94">
        <v>19</v>
      </c>
      <c r="K83" s="94">
        <v>9</v>
      </c>
      <c r="L83" s="94">
        <v>179</v>
      </c>
      <c r="M83" s="94">
        <v>103</v>
      </c>
      <c r="N83" s="94">
        <v>75</v>
      </c>
      <c r="O83" s="94">
        <v>155</v>
      </c>
      <c r="P83" s="94">
        <v>109</v>
      </c>
      <c r="Q83" s="94">
        <v>185</v>
      </c>
      <c r="R83" s="94">
        <v>189</v>
      </c>
      <c r="S83" s="94">
        <v>176</v>
      </c>
      <c r="T83" s="113">
        <v>32</v>
      </c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</row>
    <row r="84" spans="1:49" s="88" customFormat="1" ht="15" customHeight="1" x14ac:dyDescent="0.3">
      <c r="A84" s="86" t="s">
        <v>160</v>
      </c>
      <c r="B84" s="87">
        <v>2019</v>
      </c>
      <c r="C84" s="94">
        <f t="shared" si="2"/>
        <v>1345</v>
      </c>
      <c r="D84" s="94">
        <v>23</v>
      </c>
      <c r="E84" s="94">
        <v>22</v>
      </c>
      <c r="F84" s="94">
        <v>21</v>
      </c>
      <c r="G84" s="94">
        <v>21</v>
      </c>
      <c r="H84" s="94">
        <v>16</v>
      </c>
      <c r="I84" s="94">
        <v>15</v>
      </c>
      <c r="J84" s="94">
        <v>19</v>
      </c>
      <c r="K84" s="94">
        <v>9</v>
      </c>
      <c r="L84" s="94">
        <v>179</v>
      </c>
      <c r="M84" s="94">
        <v>103</v>
      </c>
      <c r="N84" s="94">
        <v>75</v>
      </c>
      <c r="O84" s="94">
        <v>154</v>
      </c>
      <c r="P84" s="94">
        <v>109</v>
      </c>
      <c r="Q84" s="94">
        <v>185</v>
      </c>
      <c r="R84" s="94">
        <v>188</v>
      </c>
      <c r="S84" s="94">
        <v>174</v>
      </c>
      <c r="T84" s="113">
        <v>32</v>
      </c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  <c r="AV84" s="118"/>
      <c r="AW84" s="118"/>
    </row>
    <row r="85" spans="1:49" s="88" customFormat="1" ht="15" customHeight="1" x14ac:dyDescent="0.3">
      <c r="A85" s="101" t="s">
        <v>160</v>
      </c>
      <c r="B85" s="102">
        <v>2020</v>
      </c>
      <c r="C85" s="103">
        <f t="shared" si="2"/>
        <v>1346</v>
      </c>
      <c r="D85" s="103">
        <v>23</v>
      </c>
      <c r="E85" s="103">
        <v>22</v>
      </c>
      <c r="F85" s="103">
        <v>21</v>
      </c>
      <c r="G85" s="103">
        <v>21</v>
      </c>
      <c r="H85" s="103">
        <v>16</v>
      </c>
      <c r="I85" s="103">
        <v>15</v>
      </c>
      <c r="J85" s="103">
        <v>19</v>
      </c>
      <c r="K85" s="103">
        <v>9</v>
      </c>
      <c r="L85" s="103">
        <v>179</v>
      </c>
      <c r="M85" s="103">
        <v>103</v>
      </c>
      <c r="N85" s="103">
        <v>75</v>
      </c>
      <c r="O85" s="103">
        <v>155</v>
      </c>
      <c r="P85" s="103">
        <v>109</v>
      </c>
      <c r="Q85" s="103">
        <v>185</v>
      </c>
      <c r="R85" s="103">
        <v>188</v>
      </c>
      <c r="S85" s="103">
        <v>174</v>
      </c>
      <c r="T85" s="114">
        <v>32</v>
      </c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18"/>
      <c r="AV85" s="118"/>
      <c r="AW85" s="118"/>
    </row>
    <row r="86" spans="1:49" s="109" customFormat="1" ht="15" customHeight="1" x14ac:dyDescent="0.3">
      <c r="A86" s="86" t="s">
        <v>160</v>
      </c>
      <c r="B86" s="87">
        <v>2021</v>
      </c>
      <c r="C86" s="94">
        <v>1347</v>
      </c>
      <c r="D86" s="94">
        <v>23</v>
      </c>
      <c r="E86" s="94">
        <v>22</v>
      </c>
      <c r="F86" s="94">
        <v>21</v>
      </c>
      <c r="G86" s="94">
        <v>21</v>
      </c>
      <c r="H86" s="94">
        <v>16</v>
      </c>
      <c r="I86" s="94">
        <v>15</v>
      </c>
      <c r="J86" s="94">
        <v>19</v>
      </c>
      <c r="K86" s="94">
        <v>9</v>
      </c>
      <c r="L86" s="94">
        <v>179</v>
      </c>
      <c r="M86" s="94">
        <v>103</v>
      </c>
      <c r="N86" s="94">
        <v>75</v>
      </c>
      <c r="O86" s="94">
        <v>156</v>
      </c>
      <c r="P86" s="94">
        <v>109</v>
      </c>
      <c r="Q86" s="94">
        <v>185</v>
      </c>
      <c r="R86" s="94">
        <v>188</v>
      </c>
      <c r="S86" s="94">
        <v>174</v>
      </c>
      <c r="T86" s="113">
        <v>32</v>
      </c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</row>
    <row r="87" spans="1:49" s="109" customFormat="1" ht="15" customHeight="1" x14ac:dyDescent="0.3">
      <c r="A87" s="86" t="s">
        <v>195</v>
      </c>
      <c r="B87" s="87">
        <v>2022</v>
      </c>
      <c r="C87" s="94">
        <f>SUM(D87:T87)</f>
        <v>1343</v>
      </c>
      <c r="D87" s="94">
        <v>23</v>
      </c>
      <c r="E87" s="94">
        <v>24</v>
      </c>
      <c r="F87" s="94">
        <v>25</v>
      </c>
      <c r="G87" s="94">
        <v>21</v>
      </c>
      <c r="H87" s="94">
        <v>18</v>
      </c>
      <c r="I87" s="94">
        <v>16</v>
      </c>
      <c r="J87" s="94">
        <v>19</v>
      </c>
      <c r="K87" s="94">
        <v>9</v>
      </c>
      <c r="L87" s="94">
        <v>179</v>
      </c>
      <c r="M87" s="94">
        <v>103</v>
      </c>
      <c r="N87" s="94">
        <v>75</v>
      </c>
      <c r="O87" s="94">
        <v>156</v>
      </c>
      <c r="P87" s="94">
        <v>109</v>
      </c>
      <c r="Q87" s="94">
        <v>181</v>
      </c>
      <c r="R87" s="94">
        <v>182</v>
      </c>
      <c r="S87" s="94">
        <v>171</v>
      </c>
      <c r="T87" s="113">
        <v>32</v>
      </c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</row>
    <row r="88" spans="1:49" s="109" customFormat="1" ht="15" customHeight="1" x14ac:dyDescent="0.3">
      <c r="A88" s="86" t="s">
        <v>160</v>
      </c>
      <c r="B88" s="87">
        <v>2023</v>
      </c>
      <c r="C88" s="94">
        <f>SUM(D88:T88)</f>
        <v>1341</v>
      </c>
      <c r="D88" s="94">
        <v>23</v>
      </c>
      <c r="E88" s="94">
        <v>24</v>
      </c>
      <c r="F88" s="94">
        <v>29</v>
      </c>
      <c r="G88" s="94">
        <v>22</v>
      </c>
      <c r="H88" s="94">
        <v>18</v>
      </c>
      <c r="I88" s="94">
        <v>16</v>
      </c>
      <c r="J88" s="94">
        <v>19</v>
      </c>
      <c r="K88" s="94">
        <v>9</v>
      </c>
      <c r="L88" s="94">
        <v>178</v>
      </c>
      <c r="M88" s="94">
        <v>103</v>
      </c>
      <c r="N88" s="94">
        <v>75</v>
      </c>
      <c r="O88" s="94">
        <v>156</v>
      </c>
      <c r="P88" s="94">
        <v>109</v>
      </c>
      <c r="Q88" s="94">
        <v>181</v>
      </c>
      <c r="R88" s="94">
        <v>176</v>
      </c>
      <c r="S88" s="94">
        <v>171</v>
      </c>
      <c r="T88" s="113">
        <v>32</v>
      </c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</row>
    <row r="89" spans="1:49" s="109" customFormat="1" ht="15" customHeight="1" x14ac:dyDescent="0.3">
      <c r="A89" s="127" t="s">
        <v>160</v>
      </c>
      <c r="B89" s="128">
        <v>2024</v>
      </c>
      <c r="C89" s="129">
        <f>SUM(D89:T89)</f>
        <v>1342</v>
      </c>
      <c r="D89" s="129">
        <v>23</v>
      </c>
      <c r="E89" s="129">
        <v>24</v>
      </c>
      <c r="F89" s="129">
        <v>29</v>
      </c>
      <c r="G89" s="131">
        <v>22</v>
      </c>
      <c r="H89" s="129">
        <v>18</v>
      </c>
      <c r="I89" s="129">
        <v>16</v>
      </c>
      <c r="J89" s="129">
        <v>19</v>
      </c>
      <c r="K89" s="129">
        <v>9</v>
      </c>
      <c r="L89" s="129">
        <v>179</v>
      </c>
      <c r="M89" s="129">
        <v>103</v>
      </c>
      <c r="N89" s="129">
        <v>75</v>
      </c>
      <c r="O89" s="129">
        <v>156</v>
      </c>
      <c r="P89" s="129">
        <v>109</v>
      </c>
      <c r="Q89" s="129">
        <v>181</v>
      </c>
      <c r="R89" s="129">
        <v>176</v>
      </c>
      <c r="S89" s="129">
        <v>171</v>
      </c>
      <c r="T89" s="130">
        <v>32</v>
      </c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</row>
    <row r="90" spans="1:49" s="88" customFormat="1" ht="15" customHeight="1" x14ac:dyDescent="0.3">
      <c r="A90" s="86" t="s">
        <v>159</v>
      </c>
      <c r="B90" s="87">
        <v>2011</v>
      </c>
      <c r="C90" s="94">
        <f t="shared" si="1"/>
        <v>2769</v>
      </c>
      <c r="D90" s="94">
        <v>253</v>
      </c>
      <c r="E90" s="94">
        <v>140</v>
      </c>
      <c r="F90" s="94">
        <v>98</v>
      </c>
      <c r="G90" s="94">
        <v>78</v>
      </c>
      <c r="H90" s="94">
        <v>62</v>
      </c>
      <c r="I90" s="94">
        <v>69</v>
      </c>
      <c r="J90" s="94">
        <v>40</v>
      </c>
      <c r="K90" s="100"/>
      <c r="L90" s="94">
        <v>332</v>
      </c>
      <c r="M90" s="94">
        <v>176</v>
      </c>
      <c r="N90" s="94">
        <v>149</v>
      </c>
      <c r="O90" s="94">
        <v>213</v>
      </c>
      <c r="P90" s="94">
        <v>230</v>
      </c>
      <c r="Q90" s="94">
        <v>290</v>
      </c>
      <c r="R90" s="94">
        <v>310</v>
      </c>
      <c r="S90" s="94">
        <v>292</v>
      </c>
      <c r="T90" s="113">
        <v>37</v>
      </c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</row>
    <row r="91" spans="1:49" s="88" customFormat="1" ht="15" customHeight="1" x14ac:dyDescent="0.3">
      <c r="A91" s="86" t="s">
        <v>159</v>
      </c>
      <c r="B91" s="87">
        <v>2012</v>
      </c>
      <c r="C91" s="94">
        <f t="shared" si="1"/>
        <v>2770</v>
      </c>
      <c r="D91" s="94">
        <v>253</v>
      </c>
      <c r="E91" s="94">
        <v>141</v>
      </c>
      <c r="F91" s="94">
        <v>98</v>
      </c>
      <c r="G91" s="94">
        <v>79</v>
      </c>
      <c r="H91" s="94">
        <v>62</v>
      </c>
      <c r="I91" s="94">
        <v>68</v>
      </c>
      <c r="J91" s="94">
        <v>40</v>
      </c>
      <c r="K91" s="94">
        <v>13</v>
      </c>
      <c r="L91" s="94">
        <v>331</v>
      </c>
      <c r="M91" s="94">
        <v>175</v>
      </c>
      <c r="N91" s="94">
        <v>148</v>
      </c>
      <c r="O91" s="94">
        <v>204</v>
      </c>
      <c r="P91" s="94">
        <v>229</v>
      </c>
      <c r="Q91" s="94">
        <v>290</v>
      </c>
      <c r="R91" s="94">
        <v>310</v>
      </c>
      <c r="S91" s="94">
        <v>292</v>
      </c>
      <c r="T91" s="113">
        <v>37</v>
      </c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</row>
    <row r="92" spans="1:49" s="88" customFormat="1" ht="15" customHeight="1" x14ac:dyDescent="0.3">
      <c r="A92" s="86" t="s">
        <v>159</v>
      </c>
      <c r="B92" s="87">
        <v>2013</v>
      </c>
      <c r="C92" s="94">
        <f t="shared" si="1"/>
        <v>2770</v>
      </c>
      <c r="D92" s="94">
        <v>253</v>
      </c>
      <c r="E92" s="94">
        <v>141</v>
      </c>
      <c r="F92" s="94">
        <v>98</v>
      </c>
      <c r="G92" s="94">
        <v>79</v>
      </c>
      <c r="H92" s="94">
        <v>62</v>
      </c>
      <c r="I92" s="94">
        <v>68</v>
      </c>
      <c r="J92" s="94">
        <v>40</v>
      </c>
      <c r="K92" s="94">
        <v>13</v>
      </c>
      <c r="L92" s="94">
        <v>331</v>
      </c>
      <c r="M92" s="94">
        <v>176</v>
      </c>
      <c r="N92" s="94">
        <v>148</v>
      </c>
      <c r="O92" s="94">
        <v>204</v>
      </c>
      <c r="P92" s="94">
        <v>229</v>
      </c>
      <c r="Q92" s="94">
        <v>290</v>
      </c>
      <c r="R92" s="94">
        <v>310</v>
      </c>
      <c r="S92" s="94">
        <v>291</v>
      </c>
      <c r="T92" s="113">
        <v>37</v>
      </c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  <c r="AU92" s="118"/>
      <c r="AV92" s="118"/>
      <c r="AW92" s="118"/>
    </row>
    <row r="93" spans="1:49" s="88" customFormat="1" ht="15" customHeight="1" x14ac:dyDescent="0.3">
      <c r="A93" s="86" t="s">
        <v>159</v>
      </c>
      <c r="B93" s="87">
        <v>2014</v>
      </c>
      <c r="C93" s="94">
        <f t="shared" si="1"/>
        <v>2666</v>
      </c>
      <c r="D93" s="94">
        <v>230</v>
      </c>
      <c r="E93" s="94">
        <v>129</v>
      </c>
      <c r="F93" s="94">
        <v>96</v>
      </c>
      <c r="G93" s="94">
        <v>77</v>
      </c>
      <c r="H93" s="94">
        <v>58</v>
      </c>
      <c r="I93" s="94">
        <v>61</v>
      </c>
      <c r="J93" s="94">
        <v>38</v>
      </c>
      <c r="K93" s="94">
        <v>14</v>
      </c>
      <c r="L93" s="94">
        <v>322</v>
      </c>
      <c r="M93" s="94">
        <v>168</v>
      </c>
      <c r="N93" s="94">
        <v>141</v>
      </c>
      <c r="O93" s="94">
        <v>199</v>
      </c>
      <c r="P93" s="94">
        <v>220</v>
      </c>
      <c r="Q93" s="94">
        <v>289</v>
      </c>
      <c r="R93" s="94">
        <v>304</v>
      </c>
      <c r="S93" s="94">
        <v>284</v>
      </c>
      <c r="T93" s="113">
        <v>36</v>
      </c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18"/>
      <c r="AV93" s="118"/>
      <c r="AW93" s="118"/>
    </row>
    <row r="94" spans="1:49" s="88" customFormat="1" ht="15" customHeight="1" x14ac:dyDescent="0.3">
      <c r="A94" s="101" t="s">
        <v>159</v>
      </c>
      <c r="B94" s="102">
        <v>2015</v>
      </c>
      <c r="C94" s="103">
        <f t="shared" si="1"/>
        <v>2630</v>
      </c>
      <c r="D94" s="103">
        <v>227</v>
      </c>
      <c r="E94" s="103">
        <v>125</v>
      </c>
      <c r="F94" s="103">
        <v>92</v>
      </c>
      <c r="G94" s="103">
        <v>77</v>
      </c>
      <c r="H94" s="103">
        <v>57</v>
      </c>
      <c r="I94" s="103">
        <v>58</v>
      </c>
      <c r="J94" s="103">
        <v>38</v>
      </c>
      <c r="K94" s="103">
        <v>13</v>
      </c>
      <c r="L94" s="103">
        <v>319</v>
      </c>
      <c r="M94" s="103">
        <v>168</v>
      </c>
      <c r="N94" s="103">
        <v>139</v>
      </c>
      <c r="O94" s="103">
        <v>196</v>
      </c>
      <c r="P94" s="103">
        <v>218</v>
      </c>
      <c r="Q94" s="103">
        <v>285</v>
      </c>
      <c r="R94" s="103">
        <v>303</v>
      </c>
      <c r="S94" s="103">
        <v>279</v>
      </c>
      <c r="T94" s="114">
        <v>36</v>
      </c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</row>
    <row r="95" spans="1:49" s="88" customFormat="1" ht="15" customHeight="1" x14ac:dyDescent="0.3">
      <c r="A95" s="86" t="s">
        <v>159</v>
      </c>
      <c r="B95" s="87">
        <v>2016</v>
      </c>
      <c r="C95" s="94">
        <f t="shared" si="1"/>
        <v>2621</v>
      </c>
      <c r="D95" s="94">
        <v>222</v>
      </c>
      <c r="E95" s="94">
        <v>123</v>
      </c>
      <c r="F95" s="94">
        <v>91</v>
      </c>
      <c r="G95" s="94">
        <v>76</v>
      </c>
      <c r="H95" s="94">
        <v>57</v>
      </c>
      <c r="I95" s="94">
        <v>59</v>
      </c>
      <c r="J95" s="94">
        <v>37</v>
      </c>
      <c r="K95" s="94">
        <v>13</v>
      </c>
      <c r="L95" s="94">
        <v>320</v>
      </c>
      <c r="M95" s="94">
        <v>167</v>
      </c>
      <c r="N95" s="94">
        <v>139</v>
      </c>
      <c r="O95" s="94">
        <v>196</v>
      </c>
      <c r="P95" s="94">
        <v>218</v>
      </c>
      <c r="Q95" s="94">
        <v>284</v>
      </c>
      <c r="R95" s="94">
        <v>303</v>
      </c>
      <c r="S95" s="94">
        <v>280</v>
      </c>
      <c r="T95" s="113">
        <v>36</v>
      </c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  <c r="AU95" s="118"/>
      <c r="AV95" s="118"/>
      <c r="AW95" s="118"/>
    </row>
    <row r="96" spans="1:49" s="88" customFormat="1" ht="15" customHeight="1" x14ac:dyDescent="0.3">
      <c r="A96" s="86" t="s">
        <v>159</v>
      </c>
      <c r="B96" s="87">
        <v>2017</v>
      </c>
      <c r="C96" s="94">
        <f t="shared" si="1"/>
        <v>2607</v>
      </c>
      <c r="D96" s="94">
        <v>220</v>
      </c>
      <c r="E96" s="94">
        <v>123</v>
      </c>
      <c r="F96" s="94">
        <v>88</v>
      </c>
      <c r="G96" s="94">
        <v>75</v>
      </c>
      <c r="H96" s="94">
        <v>57</v>
      </c>
      <c r="I96" s="94">
        <v>59</v>
      </c>
      <c r="J96" s="94">
        <v>37</v>
      </c>
      <c r="K96" s="94">
        <v>14</v>
      </c>
      <c r="L96" s="94">
        <v>315</v>
      </c>
      <c r="M96" s="94">
        <v>166</v>
      </c>
      <c r="N96" s="94">
        <v>139</v>
      </c>
      <c r="O96" s="94">
        <v>196</v>
      </c>
      <c r="P96" s="94">
        <v>218</v>
      </c>
      <c r="Q96" s="94">
        <v>284</v>
      </c>
      <c r="R96" s="94">
        <v>302</v>
      </c>
      <c r="S96" s="94">
        <v>278</v>
      </c>
      <c r="T96" s="113">
        <v>36</v>
      </c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118"/>
      <c r="AU96" s="118"/>
      <c r="AV96" s="118"/>
      <c r="AW96" s="118"/>
    </row>
    <row r="97" spans="1:49" s="88" customFormat="1" ht="15" customHeight="1" x14ac:dyDescent="0.3">
      <c r="A97" s="86" t="s">
        <v>159</v>
      </c>
      <c r="B97" s="87">
        <v>2018</v>
      </c>
      <c r="C97" s="94">
        <f t="shared" si="1"/>
        <v>2600</v>
      </c>
      <c r="D97" s="94">
        <v>216</v>
      </c>
      <c r="E97" s="94">
        <v>123</v>
      </c>
      <c r="F97" s="94">
        <v>87</v>
      </c>
      <c r="G97" s="94">
        <v>75</v>
      </c>
      <c r="H97" s="94">
        <v>57</v>
      </c>
      <c r="I97" s="94">
        <v>59</v>
      </c>
      <c r="J97" s="94">
        <v>37</v>
      </c>
      <c r="K97" s="94">
        <v>14</v>
      </c>
      <c r="L97" s="94">
        <v>316</v>
      </c>
      <c r="M97" s="94">
        <v>167</v>
      </c>
      <c r="N97" s="94">
        <v>138</v>
      </c>
      <c r="O97" s="94">
        <v>196</v>
      </c>
      <c r="P97" s="94">
        <v>218</v>
      </c>
      <c r="Q97" s="94">
        <v>284</v>
      </c>
      <c r="R97" s="94">
        <v>300</v>
      </c>
      <c r="S97" s="94">
        <v>277</v>
      </c>
      <c r="T97" s="113">
        <v>36</v>
      </c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  <c r="AT97" s="118"/>
      <c r="AU97" s="118"/>
      <c r="AV97" s="118"/>
      <c r="AW97" s="118"/>
    </row>
    <row r="98" spans="1:49" s="88" customFormat="1" ht="15" customHeight="1" x14ac:dyDescent="0.3">
      <c r="A98" s="86" t="s">
        <v>159</v>
      </c>
      <c r="B98" s="87">
        <v>2019</v>
      </c>
      <c r="C98" s="94">
        <f t="shared" si="1"/>
        <v>2576</v>
      </c>
      <c r="D98" s="94">
        <v>214</v>
      </c>
      <c r="E98" s="94">
        <v>120</v>
      </c>
      <c r="F98" s="94">
        <v>84</v>
      </c>
      <c r="G98" s="94">
        <v>74</v>
      </c>
      <c r="H98" s="94">
        <v>55</v>
      </c>
      <c r="I98" s="94">
        <v>57</v>
      </c>
      <c r="J98" s="94">
        <v>37</v>
      </c>
      <c r="K98" s="94">
        <v>14</v>
      </c>
      <c r="L98" s="94">
        <v>312</v>
      </c>
      <c r="M98" s="94">
        <v>166</v>
      </c>
      <c r="N98" s="94">
        <v>138</v>
      </c>
      <c r="O98" s="94">
        <v>195</v>
      </c>
      <c r="P98" s="94">
        <v>217</v>
      </c>
      <c r="Q98" s="94">
        <v>283</v>
      </c>
      <c r="R98" s="94">
        <v>299</v>
      </c>
      <c r="S98" s="94">
        <v>276</v>
      </c>
      <c r="T98" s="113">
        <v>35</v>
      </c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</row>
    <row r="99" spans="1:49" s="88" customFormat="1" ht="15" customHeight="1" x14ac:dyDescent="0.3">
      <c r="A99" s="119" t="s">
        <v>159</v>
      </c>
      <c r="B99" s="120">
        <v>2020</v>
      </c>
      <c r="C99" s="121">
        <f t="shared" si="1"/>
        <v>2525</v>
      </c>
      <c r="D99" s="121">
        <v>207</v>
      </c>
      <c r="E99" s="121">
        <v>117</v>
      </c>
      <c r="F99" s="121">
        <v>77</v>
      </c>
      <c r="G99" s="121">
        <v>72</v>
      </c>
      <c r="H99" s="121">
        <v>52</v>
      </c>
      <c r="I99" s="121">
        <v>56</v>
      </c>
      <c r="J99" s="121">
        <v>36</v>
      </c>
      <c r="K99" s="121">
        <v>14</v>
      </c>
      <c r="L99" s="121">
        <v>306</v>
      </c>
      <c r="M99" s="121">
        <v>160</v>
      </c>
      <c r="N99" s="121">
        <v>135</v>
      </c>
      <c r="O99" s="121">
        <v>191</v>
      </c>
      <c r="P99" s="121">
        <v>212</v>
      </c>
      <c r="Q99" s="121">
        <v>282</v>
      </c>
      <c r="R99" s="121">
        <v>301</v>
      </c>
      <c r="S99" s="121">
        <v>272</v>
      </c>
      <c r="T99" s="122">
        <v>35</v>
      </c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</row>
    <row r="100" spans="1:49" s="111" customFormat="1" ht="15" customHeight="1" x14ac:dyDescent="0.3">
      <c r="A100" s="86" t="s">
        <v>190</v>
      </c>
      <c r="B100" s="87">
        <v>2021</v>
      </c>
      <c r="C100" s="94">
        <v>2511</v>
      </c>
      <c r="D100" s="94">
        <v>205</v>
      </c>
      <c r="E100" s="94">
        <v>116</v>
      </c>
      <c r="F100" s="94">
        <v>82</v>
      </c>
      <c r="G100" s="94">
        <v>72</v>
      </c>
      <c r="H100" s="94">
        <v>50</v>
      </c>
      <c r="I100" s="94">
        <v>55</v>
      </c>
      <c r="J100" s="94">
        <v>36</v>
      </c>
      <c r="K100" s="94">
        <v>14</v>
      </c>
      <c r="L100" s="94">
        <v>305</v>
      </c>
      <c r="M100" s="94">
        <v>160</v>
      </c>
      <c r="N100" s="94">
        <v>135</v>
      </c>
      <c r="O100" s="94">
        <v>190</v>
      </c>
      <c r="P100" s="94">
        <v>212</v>
      </c>
      <c r="Q100" s="94">
        <v>281</v>
      </c>
      <c r="R100" s="94">
        <v>292</v>
      </c>
      <c r="S100" s="94">
        <v>271</v>
      </c>
      <c r="T100" s="113">
        <v>35</v>
      </c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</row>
    <row r="101" spans="1:49" s="117" customFormat="1" ht="15" customHeight="1" x14ac:dyDescent="0.3">
      <c r="A101" s="105" t="s">
        <v>159</v>
      </c>
      <c r="B101" s="106">
        <v>2022</v>
      </c>
      <c r="C101" s="107">
        <f>SUM(D101:T101)</f>
        <v>2490</v>
      </c>
      <c r="D101" s="107">
        <v>203</v>
      </c>
      <c r="E101" s="107">
        <v>116</v>
      </c>
      <c r="F101" s="107">
        <v>80</v>
      </c>
      <c r="G101" s="107">
        <v>72</v>
      </c>
      <c r="H101" s="107">
        <v>50</v>
      </c>
      <c r="I101" s="107">
        <v>54</v>
      </c>
      <c r="J101" s="107">
        <v>36</v>
      </c>
      <c r="K101" s="107">
        <v>14</v>
      </c>
      <c r="L101" s="107">
        <v>303</v>
      </c>
      <c r="M101" s="107">
        <v>151</v>
      </c>
      <c r="N101" s="107">
        <v>135</v>
      </c>
      <c r="O101" s="107">
        <v>188</v>
      </c>
      <c r="P101" s="107">
        <v>212</v>
      </c>
      <c r="Q101" s="107">
        <v>281</v>
      </c>
      <c r="R101" s="107">
        <v>290</v>
      </c>
      <c r="S101" s="107">
        <v>270</v>
      </c>
      <c r="T101" s="112">
        <v>35</v>
      </c>
    </row>
    <row r="102" spans="1:49" s="117" customFormat="1" ht="15" customHeight="1" x14ac:dyDescent="0.3">
      <c r="A102" s="105" t="s">
        <v>159</v>
      </c>
      <c r="B102" s="106">
        <v>2023</v>
      </c>
      <c r="C102" s="107">
        <f>SUM(D102:T102)</f>
        <v>2463</v>
      </c>
      <c r="D102" s="107">
        <v>200</v>
      </c>
      <c r="E102" s="107">
        <v>115</v>
      </c>
      <c r="F102" s="107">
        <v>79</v>
      </c>
      <c r="G102" s="107">
        <v>71</v>
      </c>
      <c r="H102" s="107">
        <v>50</v>
      </c>
      <c r="I102" s="107">
        <v>52</v>
      </c>
      <c r="J102" s="107">
        <v>36</v>
      </c>
      <c r="K102" s="107">
        <v>14</v>
      </c>
      <c r="L102" s="107">
        <v>300</v>
      </c>
      <c r="M102" s="107">
        <v>151</v>
      </c>
      <c r="N102" s="107">
        <v>135</v>
      </c>
      <c r="O102" s="107">
        <v>185</v>
      </c>
      <c r="P102" s="107">
        <v>212</v>
      </c>
      <c r="Q102" s="107">
        <v>279</v>
      </c>
      <c r="R102" s="107">
        <v>282</v>
      </c>
      <c r="S102" s="107">
        <v>267</v>
      </c>
      <c r="T102" s="112">
        <v>35</v>
      </c>
    </row>
    <row r="103" spans="1:49" s="117" customFormat="1" ht="15" customHeight="1" x14ac:dyDescent="0.3">
      <c r="A103" s="123" t="s">
        <v>159</v>
      </c>
      <c r="B103" s="124">
        <v>2024</v>
      </c>
      <c r="C103" s="125">
        <f>SUM(D103:T103)</f>
        <v>2447</v>
      </c>
      <c r="D103" s="125">
        <v>198</v>
      </c>
      <c r="E103" s="125">
        <v>114</v>
      </c>
      <c r="F103" s="125">
        <v>84</v>
      </c>
      <c r="G103" s="125">
        <v>70</v>
      </c>
      <c r="H103" s="125">
        <v>50</v>
      </c>
      <c r="I103" s="125">
        <v>51</v>
      </c>
      <c r="J103" s="125">
        <v>36</v>
      </c>
      <c r="K103" s="125">
        <v>14</v>
      </c>
      <c r="L103" s="125">
        <v>299</v>
      </c>
      <c r="M103" s="125">
        <v>151</v>
      </c>
      <c r="N103" s="125">
        <v>134</v>
      </c>
      <c r="O103" s="125">
        <v>185</v>
      </c>
      <c r="P103" s="125">
        <v>212</v>
      </c>
      <c r="Q103" s="125">
        <v>277</v>
      </c>
      <c r="R103" s="125">
        <v>271</v>
      </c>
      <c r="S103" s="125">
        <v>266</v>
      </c>
      <c r="T103" s="126">
        <v>35</v>
      </c>
    </row>
    <row r="104" spans="1:49" s="88" customFormat="1" ht="15" customHeight="1" x14ac:dyDescent="0.3">
      <c r="A104" s="105" t="s">
        <v>161</v>
      </c>
      <c r="B104" s="106">
        <v>2011</v>
      </c>
      <c r="C104" s="107">
        <f t="shared" ref="C104:C113" si="3">SUM(D104:T104)</f>
        <v>1448</v>
      </c>
      <c r="D104" s="107">
        <v>272</v>
      </c>
      <c r="E104" s="107">
        <v>166</v>
      </c>
      <c r="F104" s="107">
        <v>115</v>
      </c>
      <c r="G104" s="107">
        <v>54</v>
      </c>
      <c r="H104" s="107">
        <v>44</v>
      </c>
      <c r="I104" s="107">
        <v>43</v>
      </c>
      <c r="J104" s="107">
        <v>33</v>
      </c>
      <c r="K104" s="108"/>
      <c r="L104" s="107">
        <v>118</v>
      </c>
      <c r="M104" s="107">
        <v>59</v>
      </c>
      <c r="N104" s="107">
        <v>59</v>
      </c>
      <c r="O104" s="107">
        <v>61</v>
      </c>
      <c r="P104" s="107">
        <v>66</v>
      </c>
      <c r="Q104" s="107">
        <v>63</v>
      </c>
      <c r="R104" s="107">
        <v>146</v>
      </c>
      <c r="S104" s="107">
        <v>105</v>
      </c>
      <c r="T104" s="112">
        <v>44</v>
      </c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18"/>
      <c r="AV104" s="118"/>
      <c r="AW104" s="118"/>
    </row>
    <row r="105" spans="1:49" s="88" customFormat="1" ht="15" customHeight="1" x14ac:dyDescent="0.3">
      <c r="A105" s="86" t="s">
        <v>161</v>
      </c>
      <c r="B105" s="87">
        <v>2012</v>
      </c>
      <c r="C105" s="94">
        <f t="shared" si="3"/>
        <v>1420</v>
      </c>
      <c r="D105" s="94">
        <v>269</v>
      </c>
      <c r="E105" s="94">
        <v>163</v>
      </c>
      <c r="F105" s="94">
        <v>111</v>
      </c>
      <c r="G105" s="94">
        <v>54</v>
      </c>
      <c r="H105" s="94">
        <v>44</v>
      </c>
      <c r="I105" s="94">
        <v>43</v>
      </c>
      <c r="J105" s="94">
        <v>32</v>
      </c>
      <c r="K105" s="94">
        <v>2</v>
      </c>
      <c r="L105" s="94">
        <v>118</v>
      </c>
      <c r="M105" s="94">
        <v>59</v>
      </c>
      <c r="N105" s="94">
        <v>58</v>
      </c>
      <c r="O105" s="94">
        <v>58</v>
      </c>
      <c r="P105" s="94">
        <v>65</v>
      </c>
      <c r="Q105" s="94">
        <v>62</v>
      </c>
      <c r="R105" s="94">
        <v>136</v>
      </c>
      <c r="S105" s="94">
        <v>102</v>
      </c>
      <c r="T105" s="113">
        <v>44</v>
      </c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</row>
    <row r="106" spans="1:49" s="88" customFormat="1" ht="15" customHeight="1" x14ac:dyDescent="0.3">
      <c r="A106" s="86" t="s">
        <v>161</v>
      </c>
      <c r="B106" s="87">
        <v>2013</v>
      </c>
      <c r="C106" s="94">
        <f t="shared" si="3"/>
        <v>1402</v>
      </c>
      <c r="D106" s="94">
        <v>264</v>
      </c>
      <c r="E106" s="94">
        <v>159</v>
      </c>
      <c r="F106" s="94">
        <v>111</v>
      </c>
      <c r="G106" s="94">
        <v>54</v>
      </c>
      <c r="H106" s="94">
        <v>44</v>
      </c>
      <c r="I106" s="94">
        <v>43</v>
      </c>
      <c r="J106" s="94">
        <v>32</v>
      </c>
      <c r="K106" s="94">
        <v>2</v>
      </c>
      <c r="L106" s="94">
        <v>117</v>
      </c>
      <c r="M106" s="94">
        <v>58</v>
      </c>
      <c r="N106" s="94">
        <v>56</v>
      </c>
      <c r="O106" s="94">
        <v>58</v>
      </c>
      <c r="P106" s="94">
        <v>64</v>
      </c>
      <c r="Q106" s="94">
        <v>62</v>
      </c>
      <c r="R106" s="94">
        <v>132</v>
      </c>
      <c r="S106" s="94">
        <v>102</v>
      </c>
      <c r="T106" s="113">
        <v>44</v>
      </c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</row>
    <row r="107" spans="1:49" s="88" customFormat="1" ht="15" customHeight="1" x14ac:dyDescent="0.3">
      <c r="A107" s="86" t="s">
        <v>161</v>
      </c>
      <c r="B107" s="87">
        <v>2014</v>
      </c>
      <c r="C107" s="94">
        <f t="shared" si="3"/>
        <v>1372</v>
      </c>
      <c r="D107" s="94">
        <v>259</v>
      </c>
      <c r="E107" s="94">
        <v>151</v>
      </c>
      <c r="F107" s="94">
        <v>110</v>
      </c>
      <c r="G107" s="94">
        <v>54</v>
      </c>
      <c r="H107" s="94">
        <v>43</v>
      </c>
      <c r="I107" s="94">
        <v>42</v>
      </c>
      <c r="J107" s="94">
        <v>32</v>
      </c>
      <c r="K107" s="94">
        <v>2</v>
      </c>
      <c r="L107" s="94">
        <v>114</v>
      </c>
      <c r="M107" s="94">
        <v>58</v>
      </c>
      <c r="N107" s="94">
        <v>56</v>
      </c>
      <c r="O107" s="94">
        <v>58</v>
      </c>
      <c r="P107" s="94">
        <v>60</v>
      </c>
      <c r="Q107" s="94">
        <v>60</v>
      </c>
      <c r="R107" s="94">
        <v>130</v>
      </c>
      <c r="S107" s="94">
        <v>99</v>
      </c>
      <c r="T107" s="113">
        <v>44</v>
      </c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</row>
    <row r="108" spans="1:49" s="88" customFormat="1" ht="15" customHeight="1" x14ac:dyDescent="0.3">
      <c r="A108" s="101" t="s">
        <v>161</v>
      </c>
      <c r="B108" s="102">
        <v>2015</v>
      </c>
      <c r="C108" s="103">
        <f t="shared" si="3"/>
        <v>1335</v>
      </c>
      <c r="D108" s="103">
        <v>250</v>
      </c>
      <c r="E108" s="103">
        <v>141</v>
      </c>
      <c r="F108" s="103">
        <v>108</v>
      </c>
      <c r="G108" s="103">
        <v>54</v>
      </c>
      <c r="H108" s="103">
        <v>43</v>
      </c>
      <c r="I108" s="103">
        <v>42</v>
      </c>
      <c r="J108" s="103">
        <v>31</v>
      </c>
      <c r="K108" s="103">
        <v>2</v>
      </c>
      <c r="L108" s="103">
        <v>113</v>
      </c>
      <c r="M108" s="103">
        <v>57</v>
      </c>
      <c r="N108" s="103">
        <v>55</v>
      </c>
      <c r="O108" s="103">
        <v>56</v>
      </c>
      <c r="P108" s="103">
        <v>60</v>
      </c>
      <c r="Q108" s="103">
        <v>56</v>
      </c>
      <c r="R108" s="103">
        <v>127</v>
      </c>
      <c r="S108" s="103">
        <v>96</v>
      </c>
      <c r="T108" s="114">
        <v>44</v>
      </c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</row>
    <row r="109" spans="1:49" s="88" customFormat="1" ht="15" customHeight="1" x14ac:dyDescent="0.3">
      <c r="A109" s="86" t="s">
        <v>161</v>
      </c>
      <c r="B109" s="87">
        <v>2016</v>
      </c>
      <c r="C109" s="94">
        <f t="shared" si="3"/>
        <v>1321</v>
      </c>
      <c r="D109" s="94">
        <v>247</v>
      </c>
      <c r="E109" s="94">
        <v>141</v>
      </c>
      <c r="F109" s="94">
        <v>104</v>
      </c>
      <c r="G109" s="94">
        <v>54</v>
      </c>
      <c r="H109" s="94">
        <v>43</v>
      </c>
      <c r="I109" s="94">
        <v>42</v>
      </c>
      <c r="J109" s="94">
        <v>31</v>
      </c>
      <c r="K109" s="94">
        <v>2</v>
      </c>
      <c r="L109" s="94">
        <v>114</v>
      </c>
      <c r="M109" s="94">
        <v>57</v>
      </c>
      <c r="N109" s="94">
        <v>54</v>
      </c>
      <c r="O109" s="94">
        <v>56</v>
      </c>
      <c r="P109" s="94">
        <v>60</v>
      </c>
      <c r="Q109" s="94">
        <v>55</v>
      </c>
      <c r="R109" s="94">
        <v>124</v>
      </c>
      <c r="S109" s="94">
        <v>95</v>
      </c>
      <c r="T109" s="113">
        <v>42</v>
      </c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18"/>
      <c r="AV109" s="118"/>
      <c r="AW109" s="118"/>
    </row>
    <row r="110" spans="1:49" s="88" customFormat="1" ht="15" customHeight="1" x14ac:dyDescent="0.3">
      <c r="A110" s="86" t="s">
        <v>161</v>
      </c>
      <c r="B110" s="87">
        <v>2017</v>
      </c>
      <c r="C110" s="94">
        <f t="shared" si="3"/>
        <v>1315</v>
      </c>
      <c r="D110" s="94">
        <v>245</v>
      </c>
      <c r="E110" s="94">
        <v>141</v>
      </c>
      <c r="F110" s="94">
        <v>104</v>
      </c>
      <c r="G110" s="94">
        <v>55</v>
      </c>
      <c r="H110" s="94">
        <v>43</v>
      </c>
      <c r="I110" s="94">
        <v>42</v>
      </c>
      <c r="J110" s="94">
        <v>30</v>
      </c>
      <c r="K110" s="94">
        <v>2</v>
      </c>
      <c r="L110" s="94">
        <v>113</v>
      </c>
      <c r="M110" s="94">
        <v>57</v>
      </c>
      <c r="N110" s="94">
        <v>54</v>
      </c>
      <c r="O110" s="94">
        <v>55</v>
      </c>
      <c r="P110" s="94">
        <v>60</v>
      </c>
      <c r="Q110" s="94">
        <v>55</v>
      </c>
      <c r="R110" s="94">
        <v>123</v>
      </c>
      <c r="S110" s="94">
        <v>94</v>
      </c>
      <c r="T110" s="113">
        <v>42</v>
      </c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</row>
    <row r="111" spans="1:49" s="88" customFormat="1" ht="15" customHeight="1" x14ac:dyDescent="0.3">
      <c r="A111" s="86" t="s">
        <v>161</v>
      </c>
      <c r="B111" s="87">
        <v>2018</v>
      </c>
      <c r="C111" s="94">
        <f t="shared" si="3"/>
        <v>1307</v>
      </c>
      <c r="D111" s="94">
        <v>244</v>
      </c>
      <c r="E111" s="94">
        <v>140</v>
      </c>
      <c r="F111" s="94">
        <v>102</v>
      </c>
      <c r="G111" s="94">
        <v>54</v>
      </c>
      <c r="H111" s="94">
        <v>43</v>
      </c>
      <c r="I111" s="94">
        <v>42</v>
      </c>
      <c r="J111" s="94">
        <v>31</v>
      </c>
      <c r="K111" s="94">
        <v>2</v>
      </c>
      <c r="L111" s="94">
        <v>110</v>
      </c>
      <c r="M111" s="94">
        <v>57</v>
      </c>
      <c r="N111" s="94">
        <v>54</v>
      </c>
      <c r="O111" s="94">
        <v>55</v>
      </c>
      <c r="P111" s="94">
        <v>60</v>
      </c>
      <c r="Q111" s="94">
        <v>55</v>
      </c>
      <c r="R111" s="94">
        <v>122</v>
      </c>
      <c r="S111" s="94">
        <v>94</v>
      </c>
      <c r="T111" s="113">
        <v>42</v>
      </c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</row>
    <row r="112" spans="1:49" s="88" customFormat="1" ht="15" customHeight="1" x14ac:dyDescent="0.3">
      <c r="A112" s="86" t="s">
        <v>161</v>
      </c>
      <c r="B112" s="87">
        <v>2019</v>
      </c>
      <c r="C112" s="94">
        <f t="shared" si="3"/>
        <v>1301</v>
      </c>
      <c r="D112" s="94">
        <v>240</v>
      </c>
      <c r="E112" s="94">
        <v>140</v>
      </c>
      <c r="F112" s="94">
        <v>102</v>
      </c>
      <c r="G112" s="94">
        <v>53</v>
      </c>
      <c r="H112" s="94">
        <v>43</v>
      </c>
      <c r="I112" s="94">
        <v>41</v>
      </c>
      <c r="J112" s="94">
        <v>31</v>
      </c>
      <c r="K112" s="94">
        <v>3</v>
      </c>
      <c r="L112" s="94">
        <v>110</v>
      </c>
      <c r="M112" s="94">
        <v>57</v>
      </c>
      <c r="N112" s="94">
        <v>54</v>
      </c>
      <c r="O112" s="94">
        <v>55</v>
      </c>
      <c r="P112" s="94">
        <v>60</v>
      </c>
      <c r="Q112" s="94">
        <v>55</v>
      </c>
      <c r="R112" s="94">
        <v>121</v>
      </c>
      <c r="S112" s="94">
        <v>94</v>
      </c>
      <c r="T112" s="113">
        <v>42</v>
      </c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</row>
    <row r="113" spans="1:49" s="88" customFormat="1" ht="15" customHeight="1" x14ac:dyDescent="0.3">
      <c r="A113" s="119" t="s">
        <v>161</v>
      </c>
      <c r="B113" s="120">
        <v>2020</v>
      </c>
      <c r="C113" s="121">
        <f t="shared" si="3"/>
        <v>1300</v>
      </c>
      <c r="D113" s="121">
        <v>239</v>
      </c>
      <c r="E113" s="121">
        <v>140</v>
      </c>
      <c r="F113" s="121">
        <v>102</v>
      </c>
      <c r="G113" s="121">
        <v>53</v>
      </c>
      <c r="H113" s="121">
        <v>43</v>
      </c>
      <c r="I113" s="121">
        <v>41</v>
      </c>
      <c r="J113" s="121">
        <v>31</v>
      </c>
      <c r="K113" s="121">
        <v>3</v>
      </c>
      <c r="L113" s="121">
        <v>111</v>
      </c>
      <c r="M113" s="121">
        <v>57</v>
      </c>
      <c r="N113" s="121">
        <v>54</v>
      </c>
      <c r="O113" s="121">
        <v>55</v>
      </c>
      <c r="P113" s="121">
        <v>60</v>
      </c>
      <c r="Q113" s="121">
        <v>55</v>
      </c>
      <c r="R113" s="121">
        <v>121</v>
      </c>
      <c r="S113" s="121">
        <v>93</v>
      </c>
      <c r="T113" s="122">
        <v>42</v>
      </c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</row>
    <row r="114" spans="1:49" s="104" customFormat="1" ht="15" customHeight="1" x14ac:dyDescent="0.3">
      <c r="A114" s="86" t="s">
        <v>161</v>
      </c>
      <c r="B114" s="87">
        <v>2021</v>
      </c>
      <c r="C114" s="94">
        <v>1297</v>
      </c>
      <c r="D114" s="94">
        <v>237</v>
      </c>
      <c r="E114" s="94">
        <v>140</v>
      </c>
      <c r="F114" s="94">
        <v>102</v>
      </c>
      <c r="G114" s="94">
        <v>53</v>
      </c>
      <c r="H114" s="94">
        <v>43</v>
      </c>
      <c r="I114" s="94">
        <v>41</v>
      </c>
      <c r="J114" s="94">
        <v>30</v>
      </c>
      <c r="K114" s="94">
        <v>4</v>
      </c>
      <c r="L114" s="94">
        <v>111</v>
      </c>
      <c r="M114" s="94">
        <v>57</v>
      </c>
      <c r="N114" s="94">
        <v>54</v>
      </c>
      <c r="O114" s="94">
        <v>54</v>
      </c>
      <c r="P114" s="94">
        <v>60</v>
      </c>
      <c r="Q114" s="94">
        <v>55</v>
      </c>
      <c r="R114" s="94">
        <v>121</v>
      </c>
      <c r="S114" s="94">
        <v>93</v>
      </c>
      <c r="T114" s="113">
        <v>42</v>
      </c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  <c r="AT114" s="116"/>
      <c r="AU114" s="116"/>
      <c r="AV114" s="116"/>
      <c r="AW114" s="116"/>
    </row>
    <row r="115" spans="1:49" s="116" customFormat="1" ht="15" customHeight="1" x14ac:dyDescent="0.3">
      <c r="A115" s="86" t="s">
        <v>196</v>
      </c>
      <c r="B115" s="87">
        <v>2022</v>
      </c>
      <c r="C115" s="94">
        <f>SUM(D115:T115)</f>
        <v>1294</v>
      </c>
      <c r="D115" s="94">
        <v>236</v>
      </c>
      <c r="E115" s="94">
        <v>140</v>
      </c>
      <c r="F115" s="94">
        <v>102</v>
      </c>
      <c r="G115" s="94">
        <v>53</v>
      </c>
      <c r="H115" s="94">
        <v>43</v>
      </c>
      <c r="I115" s="94">
        <v>41</v>
      </c>
      <c r="J115" s="94">
        <v>30</v>
      </c>
      <c r="K115" s="94">
        <v>4</v>
      </c>
      <c r="L115" s="94">
        <v>110</v>
      </c>
      <c r="M115" s="94">
        <v>56</v>
      </c>
      <c r="N115" s="94">
        <v>54</v>
      </c>
      <c r="O115" s="94">
        <v>54</v>
      </c>
      <c r="P115" s="94">
        <v>60</v>
      </c>
      <c r="Q115" s="94">
        <v>55</v>
      </c>
      <c r="R115" s="94">
        <v>121</v>
      </c>
      <c r="S115" s="94">
        <v>93</v>
      </c>
      <c r="T115" s="94">
        <v>42</v>
      </c>
    </row>
    <row r="116" spans="1:49" s="116" customFormat="1" ht="15" customHeight="1" x14ac:dyDescent="0.3">
      <c r="A116" s="86" t="s">
        <v>161</v>
      </c>
      <c r="B116" s="87">
        <v>2023</v>
      </c>
      <c r="C116" s="94">
        <f>SUM(D116:T116)</f>
        <v>1288</v>
      </c>
      <c r="D116" s="94">
        <v>235</v>
      </c>
      <c r="E116" s="94">
        <v>140</v>
      </c>
      <c r="F116" s="94">
        <v>102</v>
      </c>
      <c r="G116" s="94">
        <v>53</v>
      </c>
      <c r="H116" s="94">
        <v>43</v>
      </c>
      <c r="I116" s="94">
        <v>40</v>
      </c>
      <c r="J116" s="94">
        <v>30</v>
      </c>
      <c r="K116" s="94">
        <v>4</v>
      </c>
      <c r="L116" s="94">
        <v>109</v>
      </c>
      <c r="M116" s="94">
        <v>55</v>
      </c>
      <c r="N116" s="94">
        <v>54</v>
      </c>
      <c r="O116" s="94">
        <v>54</v>
      </c>
      <c r="P116" s="94">
        <v>60</v>
      </c>
      <c r="Q116" s="94">
        <v>55</v>
      </c>
      <c r="R116" s="94">
        <v>119</v>
      </c>
      <c r="S116" s="94">
        <v>93</v>
      </c>
      <c r="T116" s="94">
        <v>42</v>
      </c>
    </row>
    <row r="117" spans="1:49" s="116" customFormat="1" ht="15" customHeight="1" x14ac:dyDescent="0.3">
      <c r="A117" s="127" t="s">
        <v>161</v>
      </c>
      <c r="B117" s="128">
        <v>2024</v>
      </c>
      <c r="C117" s="129">
        <f>SUM(D117:T117)</f>
        <v>1276</v>
      </c>
      <c r="D117" s="129">
        <v>229</v>
      </c>
      <c r="E117" s="129">
        <v>138</v>
      </c>
      <c r="F117" s="129">
        <v>101</v>
      </c>
      <c r="G117" s="129">
        <v>53</v>
      </c>
      <c r="H117" s="129">
        <v>43</v>
      </c>
      <c r="I117" s="129">
        <v>39</v>
      </c>
      <c r="J117" s="129">
        <v>30</v>
      </c>
      <c r="K117" s="129">
        <v>4</v>
      </c>
      <c r="L117" s="129">
        <v>109</v>
      </c>
      <c r="M117" s="129">
        <v>55</v>
      </c>
      <c r="N117" s="129">
        <v>54</v>
      </c>
      <c r="O117" s="129">
        <v>54</v>
      </c>
      <c r="P117" s="129">
        <v>59</v>
      </c>
      <c r="Q117" s="129">
        <v>55</v>
      </c>
      <c r="R117" s="129">
        <v>118</v>
      </c>
      <c r="S117" s="129">
        <v>93</v>
      </c>
      <c r="T117" s="129">
        <v>42</v>
      </c>
    </row>
    <row r="118" spans="1:49" s="116" customFormat="1" ht="15" customHeight="1" x14ac:dyDescent="0.3">
      <c r="A118" s="105" t="s">
        <v>197</v>
      </c>
      <c r="B118" s="106">
        <v>2011</v>
      </c>
      <c r="C118" s="107">
        <f t="shared" ref="C118:C128" si="4">SUM(D118:T118)</f>
        <v>11</v>
      </c>
      <c r="D118" s="94">
        <v>1</v>
      </c>
      <c r="E118" s="94">
        <v>1</v>
      </c>
      <c r="F118" s="94">
        <v>1</v>
      </c>
      <c r="G118" s="94">
        <v>1</v>
      </c>
      <c r="H118" s="94">
        <v>1</v>
      </c>
      <c r="I118" s="94">
        <v>1</v>
      </c>
      <c r="J118" s="94">
        <v>1</v>
      </c>
      <c r="K118" s="94">
        <v>0</v>
      </c>
      <c r="L118" s="94">
        <v>1</v>
      </c>
      <c r="M118" s="94">
        <v>0</v>
      </c>
      <c r="N118" s="94">
        <v>1</v>
      </c>
      <c r="O118" s="94">
        <v>0</v>
      </c>
      <c r="P118" s="94">
        <v>1</v>
      </c>
      <c r="Q118" s="94">
        <v>0</v>
      </c>
      <c r="R118" s="94">
        <v>0</v>
      </c>
      <c r="S118" s="94">
        <v>1</v>
      </c>
      <c r="T118" s="113">
        <v>0</v>
      </c>
    </row>
    <row r="119" spans="1:49" s="116" customFormat="1" ht="15" customHeight="1" x14ac:dyDescent="0.3">
      <c r="A119" s="105" t="s">
        <v>197</v>
      </c>
      <c r="B119" s="87">
        <v>2012</v>
      </c>
      <c r="C119" s="94">
        <f t="shared" si="4"/>
        <v>11</v>
      </c>
      <c r="D119" s="94">
        <v>1</v>
      </c>
      <c r="E119" s="94">
        <v>1</v>
      </c>
      <c r="F119" s="94">
        <v>1</v>
      </c>
      <c r="G119" s="94">
        <v>1</v>
      </c>
      <c r="H119" s="94">
        <v>1</v>
      </c>
      <c r="I119" s="94">
        <v>1</v>
      </c>
      <c r="J119" s="94">
        <v>1</v>
      </c>
      <c r="K119" s="94">
        <v>0</v>
      </c>
      <c r="L119" s="94">
        <v>1</v>
      </c>
      <c r="M119" s="94">
        <v>0</v>
      </c>
      <c r="N119" s="94">
        <v>1</v>
      </c>
      <c r="O119" s="94">
        <v>0</v>
      </c>
      <c r="P119" s="94">
        <v>1</v>
      </c>
      <c r="Q119" s="94">
        <v>0</v>
      </c>
      <c r="R119" s="94">
        <v>0</v>
      </c>
      <c r="S119" s="94">
        <v>1</v>
      </c>
      <c r="T119" s="113">
        <v>0</v>
      </c>
    </row>
    <row r="120" spans="1:49" s="116" customFormat="1" ht="15" customHeight="1" x14ac:dyDescent="0.3">
      <c r="A120" s="105" t="s">
        <v>197</v>
      </c>
      <c r="B120" s="87">
        <v>2013</v>
      </c>
      <c r="C120" s="94">
        <f t="shared" si="4"/>
        <v>14</v>
      </c>
      <c r="D120" s="94">
        <v>1</v>
      </c>
      <c r="E120" s="94">
        <v>1</v>
      </c>
      <c r="F120" s="94">
        <v>1</v>
      </c>
      <c r="G120" s="94">
        <v>1</v>
      </c>
      <c r="H120" s="94">
        <v>1</v>
      </c>
      <c r="I120" s="94">
        <v>1</v>
      </c>
      <c r="J120" s="94">
        <v>1</v>
      </c>
      <c r="K120" s="94">
        <v>0</v>
      </c>
      <c r="L120" s="94">
        <v>1</v>
      </c>
      <c r="M120" s="94">
        <v>1</v>
      </c>
      <c r="N120" s="94">
        <v>1</v>
      </c>
      <c r="O120" s="94">
        <v>0</v>
      </c>
      <c r="P120" s="94">
        <v>1</v>
      </c>
      <c r="Q120" s="94">
        <v>1</v>
      </c>
      <c r="R120" s="94">
        <v>1</v>
      </c>
      <c r="S120" s="94">
        <v>1</v>
      </c>
      <c r="T120" s="113">
        <v>0</v>
      </c>
    </row>
    <row r="121" spans="1:49" s="116" customFormat="1" ht="15" customHeight="1" x14ac:dyDescent="0.3">
      <c r="A121" s="105" t="s">
        <v>197</v>
      </c>
      <c r="B121" s="87">
        <v>2014</v>
      </c>
      <c r="C121" s="94">
        <f t="shared" ref="C121" si="5">SUM(D121:T121)</f>
        <v>14</v>
      </c>
      <c r="D121" s="94">
        <v>1</v>
      </c>
      <c r="E121" s="94">
        <v>1</v>
      </c>
      <c r="F121" s="94">
        <v>1</v>
      </c>
      <c r="G121" s="94">
        <v>1</v>
      </c>
      <c r="H121" s="94">
        <v>1</v>
      </c>
      <c r="I121" s="94">
        <v>1</v>
      </c>
      <c r="J121" s="94">
        <v>1</v>
      </c>
      <c r="K121" s="94">
        <v>0</v>
      </c>
      <c r="L121" s="94">
        <v>1</v>
      </c>
      <c r="M121" s="94">
        <v>1</v>
      </c>
      <c r="N121" s="94">
        <v>1</v>
      </c>
      <c r="O121" s="94">
        <v>0</v>
      </c>
      <c r="P121" s="94">
        <v>1</v>
      </c>
      <c r="Q121" s="94">
        <v>1</v>
      </c>
      <c r="R121" s="94">
        <v>1</v>
      </c>
      <c r="S121" s="94">
        <v>1</v>
      </c>
      <c r="T121" s="113">
        <v>0</v>
      </c>
    </row>
    <row r="122" spans="1:49" s="116" customFormat="1" ht="15" customHeight="1" x14ac:dyDescent="0.3">
      <c r="A122" s="101" t="s">
        <v>197</v>
      </c>
      <c r="B122" s="102">
        <v>2015</v>
      </c>
      <c r="C122" s="121">
        <f t="shared" ref="C122" si="6">SUM(D122:T122)</f>
        <v>14</v>
      </c>
      <c r="D122" s="103">
        <v>1</v>
      </c>
      <c r="E122" s="103">
        <v>1</v>
      </c>
      <c r="F122" s="103">
        <v>1</v>
      </c>
      <c r="G122" s="103">
        <v>1</v>
      </c>
      <c r="H122" s="103">
        <v>1</v>
      </c>
      <c r="I122" s="103">
        <v>1</v>
      </c>
      <c r="J122" s="103">
        <v>1</v>
      </c>
      <c r="K122" s="103">
        <v>0</v>
      </c>
      <c r="L122" s="103">
        <v>1</v>
      </c>
      <c r="M122" s="103">
        <v>1</v>
      </c>
      <c r="N122" s="103">
        <v>1</v>
      </c>
      <c r="O122" s="103">
        <v>0</v>
      </c>
      <c r="P122" s="103">
        <v>1</v>
      </c>
      <c r="Q122" s="103">
        <v>1</v>
      </c>
      <c r="R122" s="103">
        <v>1</v>
      </c>
      <c r="S122" s="103">
        <v>1</v>
      </c>
      <c r="T122" s="114">
        <v>0</v>
      </c>
    </row>
    <row r="123" spans="1:49" s="116" customFormat="1" ht="15" customHeight="1" x14ac:dyDescent="0.3">
      <c r="A123" s="105" t="s">
        <v>197</v>
      </c>
      <c r="B123" s="87">
        <v>2016</v>
      </c>
      <c r="C123" s="94">
        <f t="shared" si="4"/>
        <v>14</v>
      </c>
      <c r="D123" s="94">
        <v>1</v>
      </c>
      <c r="E123" s="94">
        <v>1</v>
      </c>
      <c r="F123" s="94">
        <v>1</v>
      </c>
      <c r="G123" s="94">
        <v>1</v>
      </c>
      <c r="H123" s="94">
        <v>1</v>
      </c>
      <c r="I123" s="94">
        <v>1</v>
      </c>
      <c r="J123" s="94">
        <v>1</v>
      </c>
      <c r="K123" s="94">
        <v>0</v>
      </c>
      <c r="L123" s="94">
        <v>1</v>
      </c>
      <c r="M123" s="94">
        <v>1</v>
      </c>
      <c r="N123" s="94">
        <v>1</v>
      </c>
      <c r="O123" s="94">
        <v>0</v>
      </c>
      <c r="P123" s="94">
        <v>1</v>
      </c>
      <c r="Q123" s="94">
        <v>1</v>
      </c>
      <c r="R123" s="94">
        <v>1</v>
      </c>
      <c r="S123" s="94">
        <v>1</v>
      </c>
      <c r="T123" s="113">
        <v>0</v>
      </c>
    </row>
    <row r="124" spans="1:49" s="116" customFormat="1" ht="15" customHeight="1" x14ac:dyDescent="0.3">
      <c r="A124" s="105" t="s">
        <v>197</v>
      </c>
      <c r="B124" s="87">
        <v>2017</v>
      </c>
      <c r="C124" s="94">
        <f t="shared" si="4"/>
        <v>14</v>
      </c>
      <c r="D124" s="94">
        <v>1</v>
      </c>
      <c r="E124" s="94">
        <v>1</v>
      </c>
      <c r="F124" s="94">
        <v>1</v>
      </c>
      <c r="G124" s="94">
        <v>1</v>
      </c>
      <c r="H124" s="94">
        <v>1</v>
      </c>
      <c r="I124" s="94">
        <v>1</v>
      </c>
      <c r="J124" s="94">
        <v>1</v>
      </c>
      <c r="K124" s="94">
        <v>0</v>
      </c>
      <c r="L124" s="94">
        <v>1</v>
      </c>
      <c r="M124" s="94">
        <v>1</v>
      </c>
      <c r="N124" s="94">
        <v>1</v>
      </c>
      <c r="O124" s="94">
        <v>0</v>
      </c>
      <c r="P124" s="94">
        <v>1</v>
      </c>
      <c r="Q124" s="94">
        <v>1</v>
      </c>
      <c r="R124" s="94">
        <v>1</v>
      </c>
      <c r="S124" s="94">
        <v>1</v>
      </c>
      <c r="T124" s="113">
        <v>0</v>
      </c>
    </row>
    <row r="125" spans="1:49" s="116" customFormat="1" ht="15" customHeight="1" x14ac:dyDescent="0.3">
      <c r="A125" s="105" t="s">
        <v>197</v>
      </c>
      <c r="B125" s="87">
        <v>2018</v>
      </c>
      <c r="C125" s="94">
        <f t="shared" si="4"/>
        <v>14</v>
      </c>
      <c r="D125" s="94">
        <v>1</v>
      </c>
      <c r="E125" s="94">
        <v>1</v>
      </c>
      <c r="F125" s="94">
        <v>1</v>
      </c>
      <c r="G125" s="94">
        <v>1</v>
      </c>
      <c r="H125" s="94">
        <v>1</v>
      </c>
      <c r="I125" s="94">
        <v>1</v>
      </c>
      <c r="J125" s="94">
        <v>1</v>
      </c>
      <c r="K125" s="94">
        <v>0</v>
      </c>
      <c r="L125" s="94">
        <v>1</v>
      </c>
      <c r="M125" s="94">
        <v>1</v>
      </c>
      <c r="N125" s="94">
        <v>1</v>
      </c>
      <c r="O125" s="94">
        <v>0</v>
      </c>
      <c r="P125" s="94">
        <v>1</v>
      </c>
      <c r="Q125" s="94">
        <v>1</v>
      </c>
      <c r="R125" s="94">
        <v>1</v>
      </c>
      <c r="S125" s="94">
        <v>1</v>
      </c>
      <c r="T125" s="113">
        <v>0</v>
      </c>
    </row>
    <row r="126" spans="1:49" s="116" customFormat="1" ht="15" customHeight="1" x14ac:dyDescent="0.3">
      <c r="A126" s="105" t="s">
        <v>197</v>
      </c>
      <c r="B126" s="87">
        <v>2019</v>
      </c>
      <c r="C126" s="94">
        <f t="shared" si="4"/>
        <v>14</v>
      </c>
      <c r="D126" s="94">
        <v>1</v>
      </c>
      <c r="E126" s="94">
        <v>1</v>
      </c>
      <c r="F126" s="94">
        <v>1</v>
      </c>
      <c r="G126" s="94">
        <v>1</v>
      </c>
      <c r="H126" s="94">
        <v>1</v>
      </c>
      <c r="I126" s="94">
        <v>1</v>
      </c>
      <c r="J126" s="94">
        <v>1</v>
      </c>
      <c r="K126" s="94">
        <v>0</v>
      </c>
      <c r="L126" s="94">
        <v>1</v>
      </c>
      <c r="M126" s="94">
        <v>1</v>
      </c>
      <c r="N126" s="94">
        <v>1</v>
      </c>
      <c r="O126" s="94">
        <v>0</v>
      </c>
      <c r="P126" s="94">
        <v>1</v>
      </c>
      <c r="Q126" s="94">
        <v>1</v>
      </c>
      <c r="R126" s="94">
        <v>1</v>
      </c>
      <c r="S126" s="94">
        <v>1</v>
      </c>
      <c r="T126" s="113">
        <v>0</v>
      </c>
    </row>
    <row r="127" spans="1:49" s="116" customFormat="1" ht="15" customHeight="1" x14ac:dyDescent="0.3">
      <c r="A127" s="119" t="s">
        <v>197</v>
      </c>
      <c r="B127" s="120">
        <v>2020</v>
      </c>
      <c r="C127" s="121">
        <f t="shared" si="4"/>
        <v>14</v>
      </c>
      <c r="D127" s="121">
        <v>1</v>
      </c>
      <c r="E127" s="121">
        <v>1</v>
      </c>
      <c r="F127" s="121">
        <v>1</v>
      </c>
      <c r="G127" s="121">
        <v>1</v>
      </c>
      <c r="H127" s="121">
        <v>1</v>
      </c>
      <c r="I127" s="121">
        <v>1</v>
      </c>
      <c r="J127" s="121">
        <v>1</v>
      </c>
      <c r="K127" s="121">
        <v>0</v>
      </c>
      <c r="L127" s="121">
        <v>1</v>
      </c>
      <c r="M127" s="121">
        <v>1</v>
      </c>
      <c r="N127" s="121">
        <v>1</v>
      </c>
      <c r="O127" s="121">
        <v>0</v>
      </c>
      <c r="P127" s="121">
        <v>1</v>
      </c>
      <c r="Q127" s="121">
        <v>1</v>
      </c>
      <c r="R127" s="121">
        <v>1</v>
      </c>
      <c r="S127" s="121">
        <v>1</v>
      </c>
      <c r="T127" s="122">
        <v>0</v>
      </c>
    </row>
    <row r="128" spans="1:49" s="116" customFormat="1" ht="15" customHeight="1" x14ac:dyDescent="0.3">
      <c r="A128" s="105" t="s">
        <v>197</v>
      </c>
      <c r="B128" s="87">
        <v>2021</v>
      </c>
      <c r="C128" s="94">
        <f t="shared" si="4"/>
        <v>14</v>
      </c>
      <c r="D128" s="94">
        <v>1</v>
      </c>
      <c r="E128" s="94">
        <v>1</v>
      </c>
      <c r="F128" s="94">
        <v>1</v>
      </c>
      <c r="G128" s="94">
        <v>1</v>
      </c>
      <c r="H128" s="94">
        <v>1</v>
      </c>
      <c r="I128" s="94">
        <v>1</v>
      </c>
      <c r="J128" s="94">
        <v>1</v>
      </c>
      <c r="K128" s="94">
        <v>0</v>
      </c>
      <c r="L128" s="94">
        <v>1</v>
      </c>
      <c r="M128" s="94">
        <v>1</v>
      </c>
      <c r="N128" s="94">
        <v>1</v>
      </c>
      <c r="O128" s="94">
        <v>0</v>
      </c>
      <c r="P128" s="94">
        <v>1</v>
      </c>
      <c r="Q128" s="94">
        <v>1</v>
      </c>
      <c r="R128" s="94">
        <v>1</v>
      </c>
      <c r="S128" s="94">
        <v>1</v>
      </c>
      <c r="T128" s="113">
        <v>0</v>
      </c>
    </row>
    <row r="129" spans="1:49" s="116" customFormat="1" ht="15" customHeight="1" x14ac:dyDescent="0.3">
      <c r="A129" s="105" t="s">
        <v>197</v>
      </c>
      <c r="B129" s="87">
        <v>2022</v>
      </c>
      <c r="C129" s="94">
        <f>SUM(D129:T129)</f>
        <v>14</v>
      </c>
      <c r="D129" s="94">
        <v>2</v>
      </c>
      <c r="E129" s="94">
        <v>1</v>
      </c>
      <c r="F129" s="94">
        <v>1</v>
      </c>
      <c r="G129" s="94" t="s">
        <v>198</v>
      </c>
      <c r="H129" s="94">
        <v>1</v>
      </c>
      <c r="I129" s="94">
        <v>1</v>
      </c>
      <c r="J129" s="94">
        <v>1</v>
      </c>
      <c r="K129" s="94">
        <v>0</v>
      </c>
      <c r="L129" s="94">
        <v>1</v>
      </c>
      <c r="M129" s="94">
        <v>1</v>
      </c>
      <c r="N129" s="94">
        <v>1</v>
      </c>
      <c r="O129" s="94">
        <v>0</v>
      </c>
      <c r="P129" s="94">
        <v>1</v>
      </c>
      <c r="Q129" s="94">
        <v>1</v>
      </c>
      <c r="R129" s="94">
        <v>1</v>
      </c>
      <c r="S129" s="94">
        <v>1</v>
      </c>
      <c r="T129" s="94">
        <v>0</v>
      </c>
    </row>
    <row r="130" spans="1:49" s="116" customFormat="1" ht="15" customHeight="1" x14ac:dyDescent="0.3">
      <c r="A130" s="105" t="s">
        <v>197</v>
      </c>
      <c r="B130" s="87">
        <v>2023</v>
      </c>
      <c r="C130" s="94">
        <f>SUM(D130:T130)</f>
        <v>15</v>
      </c>
      <c r="D130" s="94">
        <v>2</v>
      </c>
      <c r="E130" s="94">
        <v>1</v>
      </c>
      <c r="F130" s="94">
        <v>1</v>
      </c>
      <c r="G130" s="94">
        <v>1</v>
      </c>
      <c r="H130" s="94">
        <v>1</v>
      </c>
      <c r="I130" s="94">
        <v>1</v>
      </c>
      <c r="J130" s="94">
        <v>1</v>
      </c>
      <c r="K130" s="94">
        <v>0</v>
      </c>
      <c r="L130" s="94">
        <v>1</v>
      </c>
      <c r="M130" s="94">
        <v>1</v>
      </c>
      <c r="N130" s="94">
        <v>1</v>
      </c>
      <c r="O130" s="94">
        <v>0</v>
      </c>
      <c r="P130" s="94">
        <v>1</v>
      </c>
      <c r="Q130" s="94">
        <v>1</v>
      </c>
      <c r="R130" s="94">
        <v>1</v>
      </c>
      <c r="S130" s="94">
        <v>1</v>
      </c>
      <c r="T130" s="94">
        <v>0</v>
      </c>
    </row>
    <row r="131" spans="1:49" s="116" customFormat="1" ht="15" customHeight="1" x14ac:dyDescent="0.3">
      <c r="A131" s="127" t="s">
        <v>197</v>
      </c>
      <c r="B131" s="128">
        <v>2024</v>
      </c>
      <c r="C131" s="129">
        <f>SUM(D131:T131)</f>
        <v>15</v>
      </c>
      <c r="D131" s="129">
        <v>2</v>
      </c>
      <c r="E131" s="129">
        <v>1</v>
      </c>
      <c r="F131" s="129">
        <v>1</v>
      </c>
      <c r="G131" s="129">
        <v>1</v>
      </c>
      <c r="H131" s="129">
        <v>1</v>
      </c>
      <c r="I131" s="129">
        <v>1</v>
      </c>
      <c r="J131" s="129">
        <v>1</v>
      </c>
      <c r="K131" s="129">
        <v>0</v>
      </c>
      <c r="L131" s="129">
        <v>1</v>
      </c>
      <c r="M131" s="129">
        <v>1</v>
      </c>
      <c r="N131" s="129">
        <v>1</v>
      </c>
      <c r="O131" s="129">
        <v>0</v>
      </c>
      <c r="P131" s="129">
        <v>1</v>
      </c>
      <c r="Q131" s="129">
        <v>1</v>
      </c>
      <c r="R131" s="129">
        <v>1</v>
      </c>
      <c r="S131" s="129">
        <v>1</v>
      </c>
      <c r="T131" s="129">
        <v>0</v>
      </c>
    </row>
    <row r="132" spans="1:49" s="118" customFormat="1" ht="15" customHeight="1" x14ac:dyDescent="0.3">
      <c r="A132" s="137"/>
      <c r="B132" s="138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</row>
    <row r="133" spans="1:49" x14ac:dyDescent="0.3">
      <c r="A133" s="99" t="s">
        <v>184</v>
      </c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5"/>
      <c r="AP133" s="115"/>
      <c r="AQ133" s="115"/>
      <c r="AR133" s="115"/>
      <c r="AS133" s="115"/>
      <c r="AT133" s="115"/>
      <c r="AU133" s="115"/>
      <c r="AV133" s="115"/>
      <c r="AW133" s="115"/>
    </row>
    <row r="134" spans="1:49" x14ac:dyDescent="0.3">
      <c r="A134" s="96" t="s">
        <v>186</v>
      </c>
      <c r="B134" s="96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5"/>
      <c r="AL134" s="115"/>
      <c r="AM134" s="115"/>
      <c r="AN134" s="115"/>
      <c r="AO134" s="115"/>
      <c r="AP134" s="115"/>
      <c r="AQ134" s="115"/>
      <c r="AR134" s="115"/>
      <c r="AS134" s="115"/>
      <c r="AT134" s="115"/>
      <c r="AU134" s="115"/>
      <c r="AV134" s="115"/>
      <c r="AW134" s="115"/>
    </row>
    <row r="135" spans="1:49" x14ac:dyDescent="0.3">
      <c r="A135" s="96" t="s">
        <v>191</v>
      </c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</row>
    <row r="136" spans="1:49" x14ac:dyDescent="0.3">
      <c r="A136" s="96" t="s">
        <v>192</v>
      </c>
      <c r="B136" s="97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</row>
    <row r="137" spans="1:49" x14ac:dyDescent="0.3">
      <c r="A137" s="96" t="s">
        <v>193</v>
      </c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</row>
  </sheetData>
  <autoFilter ref="A5:T5" xr:uid="{00000000-0009-0000-0000-000001000000}"/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8" orientation="landscape" r:id="rId1"/>
  <rowBreaks count="1" manualBreakCount="1">
    <brk id="61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5"/>
  </sheetPr>
  <dimension ref="A1:AI106"/>
  <sheetViews>
    <sheetView zoomScaleNormal="100" workbookViewId="0">
      <pane xSplit="1" ySplit="4" topLeftCell="B10" activePane="bottomRight" state="frozen"/>
      <selection sqref="A1:IV65536"/>
      <selection pane="topRight" sqref="A1:IV65536"/>
      <selection pane="bottomLeft" sqref="A1:IV65536"/>
      <selection pane="bottomRight" sqref="A1:IV65536"/>
    </sheetView>
  </sheetViews>
  <sheetFormatPr defaultColWidth="8.86328125" defaultRowHeight="11.6" x14ac:dyDescent="0.3"/>
  <cols>
    <col min="1" max="1" width="7.33203125" style="73" customWidth="1"/>
    <col min="2" max="2" width="8.19921875" style="4" customWidth="1"/>
    <col min="3" max="3" width="8.796875" style="4" customWidth="1"/>
    <col min="4" max="4" width="8" style="4" customWidth="1"/>
    <col min="5" max="9" width="7.796875" style="4" customWidth="1"/>
    <col min="10" max="18" width="7.33203125" style="4" customWidth="1"/>
    <col min="19" max="19" width="7.33203125" style="73" customWidth="1"/>
    <col min="20" max="21" width="8.86328125" style="4"/>
    <col min="22" max="22" width="5.796875" style="4" customWidth="1"/>
    <col min="23" max="16384" width="8.86328125" style="4"/>
  </cols>
  <sheetData>
    <row r="1" spans="1:35" ht="18.45" x14ac:dyDescent="0.3">
      <c r="A1" s="132" t="s">
        <v>85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</row>
    <row r="2" spans="1:35" x14ac:dyDescent="0.3">
      <c r="A2" s="61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61"/>
    </row>
    <row r="3" spans="1:35" ht="15" customHeight="1" x14ac:dyDescent="0.3">
      <c r="A3" s="63" t="s">
        <v>86</v>
      </c>
      <c r="B3" s="64" t="s">
        <v>87</v>
      </c>
      <c r="C3" s="64" t="s">
        <v>88</v>
      </c>
      <c r="D3" s="64" t="s">
        <v>89</v>
      </c>
      <c r="E3" s="64" t="s">
        <v>90</v>
      </c>
      <c r="F3" s="64" t="s">
        <v>91</v>
      </c>
      <c r="G3" s="64" t="s">
        <v>92</v>
      </c>
      <c r="H3" s="64" t="s">
        <v>93</v>
      </c>
      <c r="I3" s="64" t="s">
        <v>94</v>
      </c>
      <c r="J3" s="64" t="s">
        <v>95</v>
      </c>
      <c r="K3" s="64" t="s">
        <v>96</v>
      </c>
      <c r="L3" s="64" t="s">
        <v>97</v>
      </c>
      <c r="M3" s="64" t="s">
        <v>98</v>
      </c>
      <c r="N3" s="64" t="s">
        <v>99</v>
      </c>
      <c r="O3" s="64" t="s">
        <v>100</v>
      </c>
      <c r="P3" s="64" t="s">
        <v>101</v>
      </c>
      <c r="Q3" s="64" t="s">
        <v>102</v>
      </c>
      <c r="R3" s="64" t="s">
        <v>103</v>
      </c>
      <c r="S3" s="65" t="s">
        <v>104</v>
      </c>
    </row>
    <row r="4" spans="1:35" ht="16.5" customHeight="1" x14ac:dyDescent="0.3">
      <c r="A4" s="133" t="s">
        <v>105</v>
      </c>
      <c r="B4" s="133"/>
      <c r="C4" s="133"/>
      <c r="D4" s="133"/>
      <c r="E4" s="133"/>
      <c r="F4" s="133"/>
      <c r="G4" s="133"/>
      <c r="H4" s="133"/>
      <c r="I4" s="133"/>
      <c r="J4" s="133" t="s">
        <v>106</v>
      </c>
      <c r="K4" s="133"/>
      <c r="L4" s="133"/>
      <c r="M4" s="133"/>
      <c r="N4" s="133"/>
      <c r="O4" s="133"/>
      <c r="P4" s="133"/>
      <c r="Q4" s="133"/>
      <c r="R4" s="133"/>
      <c r="S4" s="133"/>
    </row>
    <row r="5" spans="1:35" ht="10.5" hidden="1" customHeight="1" x14ac:dyDescent="0.3">
      <c r="A5" s="14">
        <v>1995</v>
      </c>
      <c r="B5" s="15">
        <f>4557+55</f>
        <v>4612</v>
      </c>
      <c r="C5" s="15">
        <f>1793+52</f>
        <v>1845</v>
      </c>
      <c r="D5" s="15">
        <f>405+3</f>
        <v>408</v>
      </c>
      <c r="E5" s="15">
        <v>285</v>
      </c>
      <c r="F5" s="15">
        <v>178</v>
      </c>
      <c r="G5" s="15">
        <v>132</v>
      </c>
      <c r="H5" s="15">
        <v>130</v>
      </c>
      <c r="I5" s="15" t="s">
        <v>19</v>
      </c>
      <c r="J5" s="15">
        <v>599</v>
      </c>
      <c r="K5" s="15">
        <v>88</v>
      </c>
      <c r="L5" s="15">
        <v>90</v>
      </c>
      <c r="M5" s="15">
        <v>88</v>
      </c>
      <c r="N5" s="15">
        <v>134</v>
      </c>
      <c r="O5" s="15">
        <v>110</v>
      </c>
      <c r="P5" s="15">
        <v>153</v>
      </c>
      <c r="Q5" s="15">
        <v>315</v>
      </c>
      <c r="R5" s="15">
        <v>57</v>
      </c>
      <c r="S5" s="16">
        <v>1995</v>
      </c>
      <c r="T5" s="5"/>
      <c r="V5" s="44"/>
      <c r="W5" s="5"/>
      <c r="X5" s="47"/>
    </row>
    <row r="6" spans="1:35" ht="10.5" hidden="1" customHeight="1" x14ac:dyDescent="0.3">
      <c r="A6" s="14">
        <v>1996</v>
      </c>
      <c r="B6" s="15">
        <f>5105+51</f>
        <v>5156</v>
      </c>
      <c r="C6" s="15">
        <f>1955+48</f>
        <v>2003</v>
      </c>
      <c r="D6" s="15">
        <f>457+3</f>
        <v>460</v>
      </c>
      <c r="E6" s="15">
        <v>315</v>
      </c>
      <c r="F6" s="15">
        <v>201</v>
      </c>
      <c r="G6" s="15">
        <v>149</v>
      </c>
      <c r="H6" s="15">
        <v>151</v>
      </c>
      <c r="I6" s="15" t="s">
        <v>19</v>
      </c>
      <c r="J6" s="15">
        <v>731</v>
      </c>
      <c r="K6" s="15">
        <v>101</v>
      </c>
      <c r="L6" s="15">
        <v>107</v>
      </c>
      <c r="M6" s="15">
        <v>95</v>
      </c>
      <c r="N6" s="15">
        <v>150</v>
      </c>
      <c r="O6" s="15">
        <v>121</v>
      </c>
      <c r="P6" s="15">
        <v>161</v>
      </c>
      <c r="Q6" s="15">
        <v>351</v>
      </c>
      <c r="R6" s="15">
        <v>60</v>
      </c>
      <c r="S6" s="16">
        <v>1996</v>
      </c>
      <c r="T6" s="5"/>
      <c r="V6" s="44"/>
      <c r="W6" s="5"/>
      <c r="X6" s="47"/>
    </row>
    <row r="7" spans="1:35" ht="10.5" hidden="1" customHeight="1" x14ac:dyDescent="0.3">
      <c r="A7" s="14">
        <v>1997</v>
      </c>
      <c r="B7" s="15">
        <f>5988+56</f>
        <v>6044</v>
      </c>
      <c r="C7" s="15">
        <f>2244+53</f>
        <v>2297</v>
      </c>
      <c r="D7" s="15">
        <f>527+3</f>
        <v>530</v>
      </c>
      <c r="E7" s="15">
        <v>352</v>
      </c>
      <c r="F7" s="15">
        <v>256</v>
      </c>
      <c r="G7" s="15">
        <v>175</v>
      </c>
      <c r="H7" s="15">
        <v>183</v>
      </c>
      <c r="I7" s="15">
        <v>119</v>
      </c>
      <c r="J7" s="15">
        <v>913</v>
      </c>
      <c r="K7" s="15">
        <v>117</v>
      </c>
      <c r="L7" s="15">
        <v>133</v>
      </c>
      <c r="M7" s="15">
        <v>119</v>
      </c>
      <c r="N7" s="15">
        <v>176</v>
      </c>
      <c r="O7" s="15">
        <v>133</v>
      </c>
      <c r="P7" s="15">
        <v>192</v>
      </c>
      <c r="Q7" s="15">
        <v>280</v>
      </c>
      <c r="R7" s="15">
        <v>69</v>
      </c>
      <c r="S7" s="16">
        <v>1997</v>
      </c>
      <c r="T7" s="5"/>
      <c r="V7" s="44"/>
      <c r="W7" s="5"/>
      <c r="X7" s="47"/>
    </row>
    <row r="8" spans="1:35" ht="10.5" hidden="1" customHeight="1" x14ac:dyDescent="0.3">
      <c r="A8" s="14">
        <v>1998</v>
      </c>
      <c r="B8" s="15">
        <f>5103+55</f>
        <v>5158</v>
      </c>
      <c r="C8" s="15">
        <f>2005+52</f>
        <v>2057</v>
      </c>
      <c r="D8" s="15">
        <f>463+3</f>
        <v>466</v>
      </c>
      <c r="E8" s="15">
        <v>291</v>
      </c>
      <c r="F8" s="15">
        <v>203</v>
      </c>
      <c r="G8" s="15">
        <v>158</v>
      </c>
      <c r="H8" s="15">
        <v>136</v>
      </c>
      <c r="I8" s="15">
        <v>95</v>
      </c>
      <c r="J8" s="15">
        <v>732</v>
      </c>
      <c r="K8" s="15">
        <v>107</v>
      </c>
      <c r="L8" s="15">
        <v>116</v>
      </c>
      <c r="M8" s="15">
        <v>86</v>
      </c>
      <c r="N8" s="15">
        <v>145</v>
      </c>
      <c r="O8" s="15">
        <v>119</v>
      </c>
      <c r="P8" s="15">
        <v>149</v>
      </c>
      <c r="Q8" s="15">
        <v>235</v>
      </c>
      <c r="R8" s="15">
        <v>63</v>
      </c>
      <c r="S8" s="16">
        <v>1998</v>
      </c>
      <c r="T8" s="5"/>
      <c r="U8" s="5"/>
      <c r="V8" s="44"/>
      <c r="W8" s="5"/>
      <c r="X8" s="47"/>
    </row>
    <row r="9" spans="1:35" ht="10.5" hidden="1" customHeight="1" x14ac:dyDescent="0.3">
      <c r="A9" s="14">
        <v>1999</v>
      </c>
      <c r="B9" s="15">
        <f>4853+51</f>
        <v>4904</v>
      </c>
      <c r="C9" s="15">
        <f>1957+48</f>
        <v>2005</v>
      </c>
      <c r="D9" s="15">
        <f>431+3</f>
        <v>434</v>
      </c>
      <c r="E9" s="15">
        <v>280</v>
      </c>
      <c r="F9" s="15">
        <v>187</v>
      </c>
      <c r="G9" s="15">
        <v>152</v>
      </c>
      <c r="H9" s="15">
        <v>136</v>
      </c>
      <c r="I9" s="15">
        <v>89</v>
      </c>
      <c r="J9" s="15">
        <v>687</v>
      </c>
      <c r="K9" s="15">
        <v>85</v>
      </c>
      <c r="L9" s="15">
        <v>94</v>
      </c>
      <c r="M9" s="15">
        <v>87</v>
      </c>
      <c r="N9" s="15">
        <v>135</v>
      </c>
      <c r="O9" s="15">
        <v>112</v>
      </c>
      <c r="P9" s="15">
        <v>143</v>
      </c>
      <c r="Q9" s="15">
        <v>223</v>
      </c>
      <c r="R9" s="15">
        <v>55</v>
      </c>
      <c r="S9" s="16">
        <v>1999</v>
      </c>
      <c r="T9" s="5"/>
      <c r="U9" s="5"/>
      <c r="V9" s="44"/>
      <c r="W9" s="5"/>
      <c r="X9" s="47"/>
    </row>
    <row r="10" spans="1:35" ht="10.5" customHeight="1" x14ac:dyDescent="0.3">
      <c r="A10" s="14">
        <v>2000</v>
      </c>
      <c r="B10" s="15">
        <f>4787+51</f>
        <v>4838</v>
      </c>
      <c r="C10" s="15">
        <f>1928+47</f>
        <v>1975</v>
      </c>
      <c r="D10" s="15">
        <f>424+3</f>
        <v>427</v>
      </c>
      <c r="E10" s="15">
        <v>276</v>
      </c>
      <c r="F10" s="15">
        <v>184</v>
      </c>
      <c r="G10" s="15">
        <v>142</v>
      </c>
      <c r="H10" s="15">
        <v>139</v>
      </c>
      <c r="I10" s="15">
        <v>89</v>
      </c>
      <c r="J10" s="15">
        <f>690+1</f>
        <v>691</v>
      </c>
      <c r="K10" s="15">
        <v>83</v>
      </c>
      <c r="L10" s="15">
        <v>88</v>
      </c>
      <c r="M10" s="15">
        <v>87</v>
      </c>
      <c r="N10" s="15">
        <v>137</v>
      </c>
      <c r="O10" s="15">
        <v>105</v>
      </c>
      <c r="P10" s="15">
        <v>142</v>
      </c>
      <c r="Q10" s="15">
        <v>220</v>
      </c>
      <c r="R10" s="15">
        <v>53</v>
      </c>
      <c r="S10" s="16">
        <v>2000</v>
      </c>
      <c r="T10" s="5"/>
      <c r="U10" s="5"/>
      <c r="V10" s="44"/>
      <c r="W10" s="5"/>
      <c r="X10" s="47"/>
    </row>
    <row r="11" spans="1:35" ht="10.5" customHeight="1" x14ac:dyDescent="0.3">
      <c r="A11" s="14">
        <v>2001</v>
      </c>
      <c r="B11" s="15">
        <f>4762+50</f>
        <v>4812</v>
      </c>
      <c r="C11" s="15">
        <f>1922+46</f>
        <v>1968</v>
      </c>
      <c r="D11" s="15">
        <f>431+3</f>
        <v>434</v>
      </c>
      <c r="E11" s="15">
        <v>267</v>
      </c>
      <c r="F11" s="15">
        <v>184</v>
      </c>
      <c r="G11" s="15">
        <v>143</v>
      </c>
      <c r="H11" s="15">
        <v>135</v>
      </c>
      <c r="I11" s="15">
        <v>84</v>
      </c>
      <c r="J11" s="15">
        <f>709+1</f>
        <v>710</v>
      </c>
      <c r="K11" s="15">
        <v>82</v>
      </c>
      <c r="L11" s="15">
        <v>80</v>
      </c>
      <c r="M11" s="15">
        <v>90</v>
      </c>
      <c r="N11" s="15">
        <v>133</v>
      </c>
      <c r="O11" s="15">
        <v>99</v>
      </c>
      <c r="P11" s="15">
        <v>144</v>
      </c>
      <c r="Q11" s="15">
        <v>207</v>
      </c>
      <c r="R11" s="15">
        <v>52</v>
      </c>
      <c r="S11" s="16">
        <v>2001</v>
      </c>
      <c r="T11" s="5"/>
      <c r="U11" s="5"/>
      <c r="V11" s="44"/>
      <c r="W11" s="5"/>
      <c r="X11" s="47"/>
    </row>
    <row r="12" spans="1:35" ht="10.5" customHeight="1" x14ac:dyDescent="0.3">
      <c r="A12" s="14">
        <v>2002</v>
      </c>
      <c r="B12" s="15">
        <f>4947+50</f>
        <v>4997</v>
      </c>
      <c r="C12" s="15">
        <f>2011+46</f>
        <v>2057</v>
      </c>
      <c r="D12" s="15">
        <f>441+3</f>
        <v>444</v>
      </c>
      <c r="E12" s="15">
        <v>281</v>
      </c>
      <c r="F12" s="15">
        <v>192</v>
      </c>
      <c r="G12" s="15">
        <v>151</v>
      </c>
      <c r="H12" s="15">
        <v>144</v>
      </c>
      <c r="I12" s="15">
        <v>89</v>
      </c>
      <c r="J12" s="15">
        <f>752+1</f>
        <v>753</v>
      </c>
      <c r="K12" s="15">
        <v>80</v>
      </c>
      <c r="L12" s="15">
        <v>82</v>
      </c>
      <c r="M12" s="15">
        <v>88</v>
      </c>
      <c r="N12" s="15">
        <v>136</v>
      </c>
      <c r="O12" s="15">
        <v>93</v>
      </c>
      <c r="P12" s="15">
        <v>144</v>
      </c>
      <c r="Q12" s="15">
        <v>207</v>
      </c>
      <c r="R12" s="15">
        <v>56</v>
      </c>
      <c r="S12" s="16">
        <v>2002</v>
      </c>
      <c r="T12" s="5"/>
      <c r="U12" s="5"/>
      <c r="V12" s="44"/>
      <c r="W12" s="5"/>
      <c r="X12" s="47"/>
    </row>
    <row r="13" spans="1:35" ht="4.5" customHeight="1" x14ac:dyDescent="0.3">
      <c r="A13" s="14" t="s">
        <v>1</v>
      </c>
      <c r="B13" s="15" t="s">
        <v>2</v>
      </c>
      <c r="C13" s="15" t="s">
        <v>3</v>
      </c>
      <c r="D13" s="15" t="s">
        <v>3</v>
      </c>
      <c r="E13" s="15" t="s">
        <v>3</v>
      </c>
      <c r="F13" s="15" t="s">
        <v>3</v>
      </c>
      <c r="G13" s="15" t="s">
        <v>3</v>
      </c>
      <c r="H13" s="15" t="s">
        <v>3</v>
      </c>
      <c r="I13" s="15" t="s">
        <v>3</v>
      </c>
      <c r="J13" s="15" t="s">
        <v>0</v>
      </c>
      <c r="K13" s="15" t="s">
        <v>0</v>
      </c>
      <c r="L13" s="15" t="s">
        <v>0</v>
      </c>
      <c r="M13" s="15" t="s">
        <v>0</v>
      </c>
      <c r="N13" s="15" t="s">
        <v>0</v>
      </c>
      <c r="O13" s="15" t="s">
        <v>0</v>
      </c>
      <c r="P13" s="15" t="s">
        <v>0</v>
      </c>
      <c r="Q13" s="15" t="s">
        <v>0</v>
      </c>
      <c r="R13" s="15" t="s">
        <v>0</v>
      </c>
      <c r="S13" s="16"/>
      <c r="T13" s="5"/>
      <c r="U13" s="5"/>
      <c r="V13" s="44"/>
      <c r="W13" s="5"/>
      <c r="X13" s="47"/>
    </row>
    <row r="14" spans="1:35" ht="10.5" customHeight="1" x14ac:dyDescent="0.3">
      <c r="A14" s="14">
        <v>2003</v>
      </c>
      <c r="B14" s="15">
        <f>5004+50</f>
        <v>5054</v>
      </c>
      <c r="C14" s="15">
        <f>2003+45</f>
        <v>2048</v>
      </c>
      <c r="D14" s="15">
        <f>455+3</f>
        <v>458</v>
      </c>
      <c r="E14" s="15">
        <v>279</v>
      </c>
      <c r="F14" s="15">
        <v>192</v>
      </c>
      <c r="G14" s="15">
        <v>150</v>
      </c>
      <c r="H14" s="15">
        <v>142</v>
      </c>
      <c r="I14" s="15">
        <v>90</v>
      </c>
      <c r="J14" s="15">
        <f>808+2</f>
        <v>810</v>
      </c>
      <c r="K14" s="15">
        <v>74</v>
      </c>
      <c r="L14" s="15">
        <v>79</v>
      </c>
      <c r="M14" s="15">
        <v>86</v>
      </c>
      <c r="N14" s="15">
        <v>136</v>
      </c>
      <c r="O14" s="15">
        <v>94</v>
      </c>
      <c r="P14" s="15">
        <v>142</v>
      </c>
      <c r="Q14" s="15">
        <v>219</v>
      </c>
      <c r="R14" s="15">
        <v>55</v>
      </c>
      <c r="S14" s="16">
        <v>2003</v>
      </c>
      <c r="T14" s="5"/>
      <c r="U14" s="5"/>
      <c r="V14" s="44"/>
      <c r="W14" s="5"/>
      <c r="X14" s="47"/>
    </row>
    <row r="15" spans="1:35" s="30" customFormat="1" ht="10.5" customHeight="1" x14ac:dyDescent="0.3">
      <c r="A15" s="17">
        <v>2004</v>
      </c>
      <c r="B15" s="15">
        <f>4993+47</f>
        <v>5040</v>
      </c>
      <c r="C15" s="15">
        <f>2016+42</f>
        <v>2058</v>
      </c>
      <c r="D15" s="15">
        <f>454+3</f>
        <v>457</v>
      </c>
      <c r="E15" s="15">
        <v>272</v>
      </c>
      <c r="F15" s="15">
        <v>196</v>
      </c>
      <c r="G15" s="15">
        <v>150</v>
      </c>
      <c r="H15" s="15">
        <v>143</v>
      </c>
      <c r="I15" s="15">
        <v>87</v>
      </c>
      <c r="J15" s="15">
        <f>822+2</f>
        <v>824</v>
      </c>
      <c r="K15" s="15">
        <v>69</v>
      </c>
      <c r="L15" s="15">
        <v>70</v>
      </c>
      <c r="M15" s="15">
        <v>88</v>
      </c>
      <c r="N15" s="15">
        <v>132</v>
      </c>
      <c r="O15" s="15">
        <v>91</v>
      </c>
      <c r="P15" s="15">
        <v>143</v>
      </c>
      <c r="Q15" s="15">
        <v>208</v>
      </c>
      <c r="R15" s="15">
        <v>52</v>
      </c>
      <c r="S15" s="17">
        <v>2004</v>
      </c>
      <c r="T15" s="5"/>
      <c r="U15" s="5"/>
      <c r="V15" s="45"/>
    </row>
    <row r="16" spans="1:35" s="30" customFormat="1" ht="10.5" customHeight="1" x14ac:dyDescent="0.3">
      <c r="A16" s="17">
        <v>2005</v>
      </c>
      <c r="B16" s="15">
        <f>5095-18+51</f>
        <v>5128</v>
      </c>
      <c r="C16" s="15">
        <f>2049-10+43</f>
        <v>2082</v>
      </c>
      <c r="D16" s="15">
        <f>454-3+3</f>
        <v>454</v>
      </c>
      <c r="E16" s="15">
        <f>276-1+1</f>
        <v>276</v>
      </c>
      <c r="F16" s="15">
        <f>205-1+1</f>
        <v>205</v>
      </c>
      <c r="G16" s="15">
        <v>147</v>
      </c>
      <c r="H16" s="15">
        <f>142-1+1</f>
        <v>142</v>
      </c>
      <c r="I16" s="15">
        <v>91</v>
      </c>
      <c r="J16" s="15">
        <f>864-2+2</f>
        <v>864</v>
      </c>
      <c r="K16" s="15">
        <v>70</v>
      </c>
      <c r="L16" s="15">
        <v>70</v>
      </c>
      <c r="M16" s="15">
        <v>91</v>
      </c>
      <c r="N16" s="15">
        <v>133</v>
      </c>
      <c r="O16" s="15">
        <v>92</v>
      </c>
      <c r="P16" s="15">
        <v>146</v>
      </c>
      <c r="Q16" s="15">
        <v>213</v>
      </c>
      <c r="R16" s="15">
        <v>52</v>
      </c>
      <c r="S16" s="17">
        <v>2005</v>
      </c>
      <c r="T16" s="5"/>
      <c r="U16" s="5"/>
      <c r="V16" s="45"/>
    </row>
    <row r="17" spans="1:22" s="30" customFormat="1" ht="10.5" customHeight="1" x14ac:dyDescent="0.3">
      <c r="A17" s="17">
        <v>2006</v>
      </c>
      <c r="B17" s="15">
        <f>SUM(C17:R17)</f>
        <v>5402</v>
      </c>
      <c r="C17" s="15">
        <v>2158</v>
      </c>
      <c r="D17" s="15">
        <v>481</v>
      </c>
      <c r="E17" s="15">
        <v>294</v>
      </c>
      <c r="F17" s="15">
        <v>219</v>
      </c>
      <c r="G17" s="15">
        <v>155</v>
      </c>
      <c r="H17" s="15">
        <v>149</v>
      </c>
      <c r="I17" s="15">
        <v>98</v>
      </c>
      <c r="J17" s="15">
        <v>937</v>
      </c>
      <c r="K17" s="15">
        <v>70</v>
      </c>
      <c r="L17" s="15">
        <v>74</v>
      </c>
      <c r="M17" s="15">
        <v>99</v>
      </c>
      <c r="N17" s="15">
        <v>137</v>
      </c>
      <c r="O17" s="15">
        <v>95</v>
      </c>
      <c r="P17" s="15">
        <v>154</v>
      </c>
      <c r="Q17" s="15">
        <v>224</v>
      </c>
      <c r="R17" s="15">
        <v>58</v>
      </c>
      <c r="S17" s="17">
        <v>2006</v>
      </c>
      <c r="T17" s="5"/>
      <c r="U17" s="5"/>
      <c r="V17" s="45"/>
    </row>
    <row r="18" spans="1:22" s="30" customFormat="1" ht="10.5" customHeight="1" x14ac:dyDescent="0.3">
      <c r="A18" s="17">
        <v>2007</v>
      </c>
      <c r="B18" s="15">
        <f>SUM(C18:R18)</f>
        <v>5536</v>
      </c>
      <c r="C18" s="18">
        <f>'[1]2007'!$C$256</f>
        <v>2183</v>
      </c>
      <c r="D18" s="18">
        <f>'[1]2007'!$D$256</f>
        <v>487</v>
      </c>
      <c r="E18" s="18">
        <f>'[1]2007'!$E$256</f>
        <v>304</v>
      </c>
      <c r="F18" s="18">
        <f>'[1]2007'!$F$256</f>
        <v>225</v>
      </c>
      <c r="G18" s="18">
        <f>'[1]2007'!$G$256</f>
        <v>161</v>
      </c>
      <c r="H18" s="18">
        <f>'[1]2007'!$H$256</f>
        <v>154</v>
      </c>
      <c r="I18" s="18">
        <f>'[1]2007'!$I$256</f>
        <v>107</v>
      </c>
      <c r="J18" s="18">
        <f>'[1]2007'!$J$256</f>
        <v>974</v>
      </c>
      <c r="K18" s="18">
        <f>'[1]2007'!$K$256</f>
        <v>74</v>
      </c>
      <c r="L18" s="18">
        <f>'[1]2007'!$L$256</f>
        <v>77</v>
      </c>
      <c r="M18" s="18">
        <f>'[1]2007'!$M$256</f>
        <v>106</v>
      </c>
      <c r="N18" s="18">
        <f>'[1]2007'!$N$256</f>
        <v>138</v>
      </c>
      <c r="O18" s="18">
        <f>'[1]2007'!$O$256</f>
        <v>94</v>
      </c>
      <c r="P18" s="18">
        <f>'[1]2007'!$P$256</f>
        <v>158</v>
      </c>
      <c r="Q18" s="18">
        <f>'[1]2007'!$Q$256</f>
        <v>235</v>
      </c>
      <c r="R18" s="18">
        <f>'[1]2007'!$R$256</f>
        <v>59</v>
      </c>
      <c r="S18" s="17">
        <v>2007</v>
      </c>
      <c r="T18" s="5"/>
      <c r="U18" s="5"/>
      <c r="V18" s="45"/>
    </row>
    <row r="19" spans="1:22" ht="16.5" customHeight="1" x14ac:dyDescent="0.3">
      <c r="A19" s="133" t="s">
        <v>107</v>
      </c>
      <c r="B19" s="133"/>
      <c r="C19" s="133"/>
      <c r="D19" s="133"/>
      <c r="E19" s="133"/>
      <c r="F19" s="133"/>
      <c r="G19" s="133"/>
      <c r="H19" s="133"/>
      <c r="I19" s="133"/>
      <c r="J19" s="133" t="s">
        <v>107</v>
      </c>
      <c r="K19" s="133"/>
      <c r="L19" s="133"/>
      <c r="M19" s="133"/>
      <c r="N19" s="133"/>
      <c r="O19" s="133"/>
      <c r="P19" s="133"/>
      <c r="Q19" s="133"/>
      <c r="R19" s="133"/>
      <c r="S19" s="133"/>
      <c r="U19" s="5"/>
    </row>
    <row r="20" spans="1:22" ht="10.5" hidden="1" customHeight="1" x14ac:dyDescent="0.3">
      <c r="A20" s="14">
        <v>1994</v>
      </c>
      <c r="B20" s="15">
        <v>2137</v>
      </c>
      <c r="C20" s="15">
        <v>695</v>
      </c>
      <c r="D20" s="15">
        <v>132</v>
      </c>
      <c r="E20" s="15">
        <v>86</v>
      </c>
      <c r="F20" s="15">
        <v>75</v>
      </c>
      <c r="G20" s="15">
        <v>55</v>
      </c>
      <c r="H20" s="15">
        <v>54</v>
      </c>
      <c r="I20" s="15" t="s">
        <v>19</v>
      </c>
      <c r="J20" s="15">
        <v>319</v>
      </c>
      <c r="K20" s="15">
        <v>87</v>
      </c>
      <c r="L20" s="15">
        <v>64</v>
      </c>
      <c r="M20" s="15">
        <v>85</v>
      </c>
      <c r="N20" s="15">
        <v>72</v>
      </c>
      <c r="O20" s="15">
        <v>95</v>
      </c>
      <c r="P20" s="15">
        <v>125</v>
      </c>
      <c r="Q20" s="15">
        <v>167</v>
      </c>
      <c r="R20" s="15">
        <v>26</v>
      </c>
      <c r="S20" s="16">
        <v>1994</v>
      </c>
      <c r="U20" s="5"/>
    </row>
    <row r="21" spans="1:22" ht="10.5" hidden="1" customHeight="1" x14ac:dyDescent="0.3">
      <c r="A21" s="14">
        <v>1995</v>
      </c>
      <c r="B21" s="15">
        <v>1794</v>
      </c>
      <c r="C21" s="15">
        <v>510</v>
      </c>
      <c r="D21" s="15">
        <v>113</v>
      </c>
      <c r="E21" s="15">
        <v>78</v>
      </c>
      <c r="F21" s="15">
        <v>68</v>
      </c>
      <c r="G21" s="15">
        <v>49</v>
      </c>
      <c r="H21" s="15">
        <v>49</v>
      </c>
      <c r="I21" s="15" t="s">
        <v>19</v>
      </c>
      <c r="J21" s="15">
        <v>287</v>
      </c>
      <c r="K21" s="15">
        <v>77</v>
      </c>
      <c r="L21" s="15">
        <v>55</v>
      </c>
      <c r="M21" s="15">
        <v>72</v>
      </c>
      <c r="N21" s="15">
        <v>69</v>
      </c>
      <c r="O21" s="15">
        <v>91</v>
      </c>
      <c r="P21" s="15">
        <v>104</v>
      </c>
      <c r="Q21" s="15">
        <v>146</v>
      </c>
      <c r="R21" s="15">
        <v>26</v>
      </c>
      <c r="S21" s="16">
        <v>1995</v>
      </c>
      <c r="U21" s="5"/>
    </row>
    <row r="22" spans="1:22" ht="10.5" hidden="1" customHeight="1" x14ac:dyDescent="0.3">
      <c r="A22" s="14">
        <v>1996</v>
      </c>
      <c r="B22" s="15">
        <v>1930</v>
      </c>
      <c r="C22" s="15">
        <v>533</v>
      </c>
      <c r="D22" s="15">
        <v>122</v>
      </c>
      <c r="E22" s="15">
        <v>86</v>
      </c>
      <c r="F22" s="15">
        <v>76</v>
      </c>
      <c r="G22" s="15">
        <v>54</v>
      </c>
      <c r="H22" s="15">
        <v>57</v>
      </c>
      <c r="I22" s="15" t="s">
        <v>19</v>
      </c>
      <c r="J22" s="15">
        <v>320</v>
      </c>
      <c r="K22" s="15">
        <v>81</v>
      </c>
      <c r="L22" s="15">
        <v>60</v>
      </c>
      <c r="M22" s="15">
        <v>77</v>
      </c>
      <c r="N22" s="15">
        <v>77</v>
      </c>
      <c r="O22" s="15">
        <v>95</v>
      </c>
      <c r="P22" s="15">
        <v>111</v>
      </c>
      <c r="Q22" s="15">
        <v>153</v>
      </c>
      <c r="R22" s="15">
        <v>28</v>
      </c>
      <c r="S22" s="16">
        <v>1996</v>
      </c>
      <c r="U22" s="5"/>
    </row>
    <row r="23" spans="1:22" ht="10.5" hidden="1" customHeight="1" x14ac:dyDescent="0.3">
      <c r="A23" s="14">
        <v>1997</v>
      </c>
      <c r="B23" s="15">
        <v>1558</v>
      </c>
      <c r="C23" s="15">
        <v>394</v>
      </c>
      <c r="D23" s="15">
        <v>99</v>
      </c>
      <c r="E23" s="15">
        <v>69</v>
      </c>
      <c r="F23" s="15">
        <v>60</v>
      </c>
      <c r="G23" s="15">
        <v>41</v>
      </c>
      <c r="H23" s="15">
        <v>42</v>
      </c>
      <c r="I23" s="15">
        <v>27</v>
      </c>
      <c r="J23" s="15">
        <v>250</v>
      </c>
      <c r="K23" s="15">
        <v>76</v>
      </c>
      <c r="L23" s="15">
        <v>45</v>
      </c>
      <c r="M23" s="15">
        <v>69</v>
      </c>
      <c r="N23" s="15">
        <v>65</v>
      </c>
      <c r="O23" s="15">
        <v>85</v>
      </c>
      <c r="P23" s="15">
        <v>100</v>
      </c>
      <c r="Q23" s="15">
        <v>111</v>
      </c>
      <c r="R23" s="15">
        <v>25</v>
      </c>
      <c r="S23" s="16">
        <v>1997</v>
      </c>
      <c r="T23" s="5"/>
      <c r="U23" s="5"/>
    </row>
    <row r="24" spans="1:22" ht="10.5" hidden="1" customHeight="1" x14ac:dyDescent="0.3">
      <c r="A24" s="14">
        <v>1998</v>
      </c>
      <c r="B24" s="15">
        <v>1511</v>
      </c>
      <c r="C24" s="15">
        <v>381</v>
      </c>
      <c r="D24" s="15">
        <v>94</v>
      </c>
      <c r="E24" s="15">
        <v>64</v>
      </c>
      <c r="F24" s="15">
        <v>59</v>
      </c>
      <c r="G24" s="15">
        <v>42</v>
      </c>
      <c r="H24" s="15">
        <v>40</v>
      </c>
      <c r="I24" s="15">
        <v>24</v>
      </c>
      <c r="J24" s="15">
        <v>242</v>
      </c>
      <c r="K24" s="15">
        <v>76</v>
      </c>
      <c r="L24" s="15">
        <v>47</v>
      </c>
      <c r="M24" s="15">
        <v>68</v>
      </c>
      <c r="N24" s="15">
        <v>62</v>
      </c>
      <c r="O24" s="15">
        <v>82</v>
      </c>
      <c r="P24" s="15">
        <v>96</v>
      </c>
      <c r="Q24" s="15">
        <v>109</v>
      </c>
      <c r="R24" s="15">
        <v>25</v>
      </c>
      <c r="S24" s="16">
        <v>1998</v>
      </c>
      <c r="T24" s="5"/>
      <c r="U24" s="5"/>
    </row>
    <row r="25" spans="1:22" ht="10.5" hidden="1" customHeight="1" x14ac:dyDescent="0.3">
      <c r="A25" s="14">
        <v>1999</v>
      </c>
      <c r="B25" s="15">
        <v>1428</v>
      </c>
      <c r="C25" s="15">
        <v>370</v>
      </c>
      <c r="D25" s="15">
        <v>92</v>
      </c>
      <c r="E25" s="15">
        <v>59</v>
      </c>
      <c r="F25" s="15">
        <v>57</v>
      </c>
      <c r="G25" s="15">
        <v>39</v>
      </c>
      <c r="H25" s="15">
        <v>39</v>
      </c>
      <c r="I25" s="15">
        <v>23</v>
      </c>
      <c r="J25" s="15">
        <v>237</v>
      </c>
      <c r="K25" s="15">
        <v>68</v>
      </c>
      <c r="L25" s="15">
        <v>45</v>
      </c>
      <c r="M25" s="15">
        <v>58</v>
      </c>
      <c r="N25" s="15">
        <v>58</v>
      </c>
      <c r="O25" s="15">
        <v>72</v>
      </c>
      <c r="P25" s="15">
        <v>87</v>
      </c>
      <c r="Q25" s="15">
        <v>100</v>
      </c>
      <c r="R25" s="15">
        <v>24</v>
      </c>
      <c r="S25" s="16">
        <v>1999</v>
      </c>
      <c r="T25" s="5"/>
      <c r="U25" s="5"/>
    </row>
    <row r="26" spans="1:22" ht="10.5" customHeight="1" x14ac:dyDescent="0.3">
      <c r="A26" s="14">
        <v>2000</v>
      </c>
      <c r="B26" s="15">
        <v>1361</v>
      </c>
      <c r="C26" s="15">
        <v>353</v>
      </c>
      <c r="D26" s="15">
        <v>89</v>
      </c>
      <c r="E26" s="15">
        <v>56</v>
      </c>
      <c r="F26" s="15">
        <v>54</v>
      </c>
      <c r="G26" s="15">
        <v>37</v>
      </c>
      <c r="H26" s="15">
        <v>38</v>
      </c>
      <c r="I26" s="15">
        <v>23</v>
      </c>
      <c r="J26" s="15">
        <v>232</v>
      </c>
      <c r="K26" s="15">
        <v>65</v>
      </c>
      <c r="L26" s="15">
        <v>43</v>
      </c>
      <c r="M26" s="15">
        <v>56</v>
      </c>
      <c r="N26" s="15">
        <v>51</v>
      </c>
      <c r="O26" s="15">
        <v>66</v>
      </c>
      <c r="P26" s="15">
        <v>81</v>
      </c>
      <c r="Q26" s="15">
        <v>93</v>
      </c>
      <c r="R26" s="15">
        <v>24</v>
      </c>
      <c r="S26" s="16">
        <v>2000</v>
      </c>
      <c r="T26" s="5"/>
      <c r="U26" s="5"/>
    </row>
    <row r="27" spans="1:22" ht="10.5" customHeight="1" x14ac:dyDescent="0.3">
      <c r="A27" s="14">
        <v>2001</v>
      </c>
      <c r="B27" s="15">
        <v>1347</v>
      </c>
      <c r="C27" s="15">
        <v>341</v>
      </c>
      <c r="D27" s="15">
        <v>89</v>
      </c>
      <c r="E27" s="15">
        <v>56</v>
      </c>
      <c r="F27" s="15">
        <v>53</v>
      </c>
      <c r="G27" s="15">
        <v>39</v>
      </c>
      <c r="H27" s="15">
        <v>39</v>
      </c>
      <c r="I27" s="15">
        <v>23</v>
      </c>
      <c r="J27" s="15">
        <v>231</v>
      </c>
      <c r="K27" s="15">
        <v>67</v>
      </c>
      <c r="L27" s="15">
        <v>43</v>
      </c>
      <c r="M27" s="15">
        <v>55</v>
      </c>
      <c r="N27" s="15">
        <v>50</v>
      </c>
      <c r="O27" s="15">
        <v>66</v>
      </c>
      <c r="P27" s="15">
        <v>80</v>
      </c>
      <c r="Q27" s="15">
        <v>92</v>
      </c>
      <c r="R27" s="15">
        <v>23</v>
      </c>
      <c r="S27" s="16">
        <v>2001</v>
      </c>
      <c r="T27" s="5"/>
      <c r="U27" s="5"/>
    </row>
    <row r="28" spans="1:22" ht="10.5" customHeight="1" x14ac:dyDescent="0.3">
      <c r="A28" s="14">
        <v>2002</v>
      </c>
      <c r="B28" s="15">
        <f>SUM(C28:R28)</f>
        <v>1387</v>
      </c>
      <c r="C28" s="15">
        <v>347</v>
      </c>
      <c r="D28" s="15">
        <v>90</v>
      </c>
      <c r="E28" s="15">
        <v>59</v>
      </c>
      <c r="F28" s="15">
        <v>56</v>
      </c>
      <c r="G28" s="15">
        <v>40</v>
      </c>
      <c r="H28" s="15">
        <v>39</v>
      </c>
      <c r="I28" s="15">
        <v>24</v>
      </c>
      <c r="J28" s="15">
        <v>244</v>
      </c>
      <c r="K28" s="15">
        <v>67</v>
      </c>
      <c r="L28" s="15">
        <v>45</v>
      </c>
      <c r="M28" s="15">
        <v>57</v>
      </c>
      <c r="N28" s="15">
        <v>52</v>
      </c>
      <c r="O28" s="15">
        <v>69</v>
      </c>
      <c r="P28" s="15">
        <v>81</v>
      </c>
      <c r="Q28" s="15">
        <v>93</v>
      </c>
      <c r="R28" s="15">
        <v>24</v>
      </c>
      <c r="S28" s="16">
        <v>2002</v>
      </c>
      <c r="T28" s="5"/>
      <c r="U28" s="5"/>
    </row>
    <row r="29" spans="1:22" ht="4.5" customHeight="1" x14ac:dyDescent="0.3">
      <c r="A29" s="14" t="s">
        <v>1</v>
      </c>
      <c r="B29" s="15" t="s">
        <v>2</v>
      </c>
      <c r="C29" s="15" t="s">
        <v>3</v>
      </c>
      <c r="D29" s="15" t="s">
        <v>3</v>
      </c>
      <c r="E29" s="15" t="s">
        <v>3</v>
      </c>
      <c r="F29" s="15" t="s">
        <v>3</v>
      </c>
      <c r="G29" s="15" t="s">
        <v>3</v>
      </c>
      <c r="H29" s="15" t="s">
        <v>3</v>
      </c>
      <c r="I29" s="15" t="s">
        <v>3</v>
      </c>
      <c r="J29" s="15" t="s">
        <v>0</v>
      </c>
      <c r="K29" s="15" t="s">
        <v>0</v>
      </c>
      <c r="L29" s="15" t="s">
        <v>0</v>
      </c>
      <c r="M29" s="15" t="s">
        <v>0</v>
      </c>
      <c r="N29" s="15" t="s">
        <v>0</v>
      </c>
      <c r="O29" s="15" t="s">
        <v>0</v>
      </c>
      <c r="P29" s="15" t="s">
        <v>0</v>
      </c>
      <c r="Q29" s="15" t="s">
        <v>0</v>
      </c>
      <c r="R29" s="15" t="s">
        <v>0</v>
      </c>
      <c r="S29" s="16"/>
      <c r="T29" s="5"/>
      <c r="U29" s="5"/>
    </row>
    <row r="30" spans="1:22" ht="10.5" customHeight="1" x14ac:dyDescent="0.3">
      <c r="A30" s="17">
        <v>2003</v>
      </c>
      <c r="B30" s="15">
        <v>1404</v>
      </c>
      <c r="C30" s="15">
        <v>339</v>
      </c>
      <c r="D30" s="15">
        <v>89</v>
      </c>
      <c r="E30" s="15">
        <v>60</v>
      </c>
      <c r="F30" s="15">
        <v>56</v>
      </c>
      <c r="G30" s="15">
        <v>40</v>
      </c>
      <c r="H30" s="15">
        <v>39</v>
      </c>
      <c r="I30" s="15">
        <v>25</v>
      </c>
      <c r="J30" s="15">
        <v>260</v>
      </c>
      <c r="K30" s="15">
        <v>68</v>
      </c>
      <c r="L30" s="15">
        <v>46</v>
      </c>
      <c r="M30" s="15">
        <v>59</v>
      </c>
      <c r="N30" s="15">
        <v>53</v>
      </c>
      <c r="O30" s="15">
        <v>69</v>
      </c>
      <c r="P30" s="15">
        <v>82</v>
      </c>
      <c r="Q30" s="15">
        <v>94</v>
      </c>
      <c r="R30" s="15">
        <v>25</v>
      </c>
      <c r="S30" s="16">
        <v>2003</v>
      </c>
      <c r="T30" s="5"/>
      <c r="U30" s="5"/>
    </row>
    <row r="31" spans="1:22" s="30" customFormat="1" ht="10.5" customHeight="1" x14ac:dyDescent="0.3">
      <c r="A31" s="17">
        <v>2004</v>
      </c>
      <c r="B31" s="15">
        <v>1428</v>
      </c>
      <c r="C31" s="15">
        <v>341</v>
      </c>
      <c r="D31" s="15">
        <v>91</v>
      </c>
      <c r="E31" s="15">
        <v>59</v>
      </c>
      <c r="F31" s="15">
        <v>55</v>
      </c>
      <c r="G31" s="15">
        <v>40</v>
      </c>
      <c r="H31" s="15">
        <v>39</v>
      </c>
      <c r="I31" s="15">
        <v>25</v>
      </c>
      <c r="J31" s="15">
        <v>273</v>
      </c>
      <c r="K31" s="15">
        <v>68</v>
      </c>
      <c r="L31" s="15">
        <v>50</v>
      </c>
      <c r="M31" s="15">
        <v>60</v>
      </c>
      <c r="N31" s="15">
        <v>55</v>
      </c>
      <c r="O31" s="15">
        <v>71</v>
      </c>
      <c r="P31" s="15">
        <v>82</v>
      </c>
      <c r="Q31" s="15">
        <v>94</v>
      </c>
      <c r="R31" s="15">
        <v>25</v>
      </c>
      <c r="S31" s="17">
        <v>2004</v>
      </c>
      <c r="T31" s="5"/>
      <c r="U31" s="5"/>
    </row>
    <row r="32" spans="1:22" s="30" customFormat="1" ht="10.5" customHeight="1" x14ac:dyDescent="0.3">
      <c r="A32" s="17">
        <v>2005</v>
      </c>
      <c r="B32" s="15">
        <v>1495</v>
      </c>
      <c r="C32" s="15">
        <v>360</v>
      </c>
      <c r="D32" s="15">
        <v>95</v>
      </c>
      <c r="E32" s="15">
        <v>61</v>
      </c>
      <c r="F32" s="15">
        <v>64</v>
      </c>
      <c r="G32" s="15">
        <v>41</v>
      </c>
      <c r="H32" s="15">
        <v>39</v>
      </c>
      <c r="I32" s="15">
        <v>26</v>
      </c>
      <c r="J32" s="15">
        <v>292</v>
      </c>
      <c r="K32" s="15">
        <v>68</v>
      </c>
      <c r="L32" s="15">
        <v>52</v>
      </c>
      <c r="M32" s="15">
        <v>63</v>
      </c>
      <c r="N32" s="15">
        <v>55</v>
      </c>
      <c r="O32" s="15">
        <v>71</v>
      </c>
      <c r="P32" s="15">
        <v>84</v>
      </c>
      <c r="Q32" s="15">
        <v>99</v>
      </c>
      <c r="R32" s="15">
        <v>25</v>
      </c>
      <c r="S32" s="17">
        <v>2005</v>
      </c>
      <c r="T32" s="5"/>
      <c r="U32" s="5"/>
    </row>
    <row r="33" spans="1:21" s="30" customFormat="1" ht="10.5" customHeight="1" x14ac:dyDescent="0.3">
      <c r="A33" s="17">
        <v>2006</v>
      </c>
      <c r="B33" s="15">
        <f>SUM(C33:R33)</f>
        <v>1596</v>
      </c>
      <c r="C33" s="15">
        <v>395</v>
      </c>
      <c r="D33" s="15">
        <v>107</v>
      </c>
      <c r="E33" s="15">
        <v>63</v>
      </c>
      <c r="F33" s="15">
        <v>68</v>
      </c>
      <c r="G33" s="15">
        <v>40</v>
      </c>
      <c r="H33" s="15">
        <v>42</v>
      </c>
      <c r="I33" s="15">
        <v>30</v>
      </c>
      <c r="J33" s="15">
        <v>321</v>
      </c>
      <c r="K33" s="15">
        <v>71</v>
      </c>
      <c r="L33" s="15">
        <v>55</v>
      </c>
      <c r="M33" s="15">
        <v>66</v>
      </c>
      <c r="N33" s="15">
        <v>55</v>
      </c>
      <c r="O33" s="15">
        <v>72</v>
      </c>
      <c r="P33" s="15">
        <v>84</v>
      </c>
      <c r="Q33" s="15">
        <v>103</v>
      </c>
      <c r="R33" s="15">
        <v>24</v>
      </c>
      <c r="S33" s="17">
        <v>2006</v>
      </c>
      <c r="T33" s="5"/>
      <c r="U33" s="5"/>
    </row>
    <row r="34" spans="1:21" s="30" customFormat="1" ht="10.5" customHeight="1" x14ac:dyDescent="0.3">
      <c r="A34" s="17">
        <v>2007</v>
      </c>
      <c r="B34" s="15">
        <f>SUM(C34:R34)</f>
        <v>1737</v>
      </c>
      <c r="C34" s="18">
        <f>'[1]2007'!$C$63</f>
        <v>438</v>
      </c>
      <c r="D34" s="18">
        <f>'[1]2007'!$D$63</f>
        <v>109</v>
      </c>
      <c r="E34" s="18">
        <f>'[1]2007'!$E$63</f>
        <v>68</v>
      </c>
      <c r="F34" s="18">
        <f>'[1]2007'!$F$63</f>
        <v>77</v>
      </c>
      <c r="G34" s="18">
        <f>'[1]2007'!$G$63</f>
        <v>43</v>
      </c>
      <c r="H34" s="18">
        <f>'[1]2007'!$H$63</f>
        <v>45</v>
      </c>
      <c r="I34" s="18">
        <f>'[1]2007'!$I$63</f>
        <v>33</v>
      </c>
      <c r="J34" s="18">
        <f>'[1]2007'!$J$63</f>
        <v>358</v>
      </c>
      <c r="K34" s="18">
        <f>'[1]2007'!$K$63</f>
        <v>74</v>
      </c>
      <c r="L34" s="18">
        <f>'[1]2007'!$L$63</f>
        <v>60</v>
      </c>
      <c r="M34" s="18">
        <f>'[1]2007'!$M$63</f>
        <v>71</v>
      </c>
      <c r="N34" s="18">
        <f>'[1]2007'!$N$63</f>
        <v>58</v>
      </c>
      <c r="O34" s="18">
        <f>'[1]2007'!$O$63</f>
        <v>77</v>
      </c>
      <c r="P34" s="18">
        <f>'[1]2007'!$P$63</f>
        <v>89</v>
      </c>
      <c r="Q34" s="18">
        <f>'[1]2007'!$Q$63</f>
        <v>112</v>
      </c>
      <c r="R34" s="18">
        <f>'[1]2007'!$R$63</f>
        <v>25</v>
      </c>
      <c r="S34" s="17">
        <v>2007</v>
      </c>
      <c r="T34" s="5"/>
      <c r="U34" s="5"/>
    </row>
    <row r="35" spans="1:21" ht="16.5" customHeight="1" x14ac:dyDescent="0.3">
      <c r="A35" s="133" t="s">
        <v>143</v>
      </c>
      <c r="B35" s="133"/>
      <c r="C35" s="133"/>
      <c r="D35" s="133"/>
      <c r="E35" s="133"/>
      <c r="F35" s="133"/>
      <c r="G35" s="133"/>
      <c r="H35" s="133"/>
      <c r="I35" s="133"/>
      <c r="J35" s="133" t="s">
        <v>108</v>
      </c>
      <c r="K35" s="133"/>
      <c r="L35" s="133"/>
      <c r="M35" s="133"/>
      <c r="N35" s="133"/>
      <c r="O35" s="133"/>
      <c r="P35" s="133"/>
      <c r="Q35" s="133"/>
      <c r="R35" s="133"/>
      <c r="S35" s="133"/>
      <c r="T35" s="5"/>
      <c r="U35" s="5"/>
    </row>
    <row r="36" spans="1:21" ht="10.5" hidden="1" customHeight="1" x14ac:dyDescent="0.3">
      <c r="A36" s="14">
        <v>1994</v>
      </c>
      <c r="B36" s="15">
        <v>30</v>
      </c>
      <c r="C36" s="15">
        <v>14</v>
      </c>
      <c r="D36" s="15">
        <v>5</v>
      </c>
      <c r="E36" s="15">
        <v>3</v>
      </c>
      <c r="F36" s="15">
        <v>1</v>
      </c>
      <c r="G36" s="15">
        <v>1</v>
      </c>
      <c r="H36" s="15">
        <v>1</v>
      </c>
      <c r="I36" s="15" t="s">
        <v>19</v>
      </c>
      <c r="J36" s="15">
        <v>1</v>
      </c>
      <c r="K36" s="15" t="s">
        <v>20</v>
      </c>
      <c r="L36" s="15">
        <v>1</v>
      </c>
      <c r="M36" s="15" t="s">
        <v>20</v>
      </c>
      <c r="N36" s="15">
        <v>1</v>
      </c>
      <c r="O36" s="15" t="s">
        <v>20</v>
      </c>
      <c r="P36" s="15" t="s">
        <v>20</v>
      </c>
      <c r="Q36" s="15">
        <v>2</v>
      </c>
      <c r="R36" s="15" t="s">
        <v>20</v>
      </c>
      <c r="S36" s="16">
        <v>1994</v>
      </c>
      <c r="T36" s="5"/>
      <c r="U36" s="5"/>
    </row>
    <row r="37" spans="1:21" ht="10.5" hidden="1" customHeight="1" x14ac:dyDescent="0.3">
      <c r="A37" s="14">
        <v>1995</v>
      </c>
      <c r="B37" s="15">
        <v>30</v>
      </c>
      <c r="C37" s="15">
        <v>14</v>
      </c>
      <c r="D37" s="15">
        <v>5</v>
      </c>
      <c r="E37" s="15">
        <v>3</v>
      </c>
      <c r="F37" s="15">
        <v>1</v>
      </c>
      <c r="G37" s="15">
        <v>1</v>
      </c>
      <c r="H37" s="15">
        <v>1</v>
      </c>
      <c r="I37" s="15" t="s">
        <v>19</v>
      </c>
      <c r="J37" s="15">
        <v>1</v>
      </c>
      <c r="K37" s="15" t="s">
        <v>20</v>
      </c>
      <c r="L37" s="15">
        <v>1</v>
      </c>
      <c r="M37" s="15" t="s">
        <v>20</v>
      </c>
      <c r="N37" s="15">
        <v>1</v>
      </c>
      <c r="O37" s="15" t="s">
        <v>20</v>
      </c>
      <c r="P37" s="15" t="s">
        <v>20</v>
      </c>
      <c r="Q37" s="15">
        <v>2</v>
      </c>
      <c r="R37" s="15" t="s">
        <v>20</v>
      </c>
      <c r="S37" s="16">
        <v>1995</v>
      </c>
      <c r="T37" s="5"/>
      <c r="U37" s="5"/>
    </row>
    <row r="38" spans="1:21" ht="10.5" hidden="1" customHeight="1" x14ac:dyDescent="0.3">
      <c r="A38" s="14">
        <v>1996</v>
      </c>
      <c r="B38" s="15">
        <v>30</v>
      </c>
      <c r="C38" s="15">
        <v>14</v>
      </c>
      <c r="D38" s="15">
        <v>5</v>
      </c>
      <c r="E38" s="15">
        <v>3</v>
      </c>
      <c r="F38" s="15">
        <v>1</v>
      </c>
      <c r="G38" s="15">
        <v>1</v>
      </c>
      <c r="H38" s="15">
        <v>1</v>
      </c>
      <c r="I38" s="15" t="s">
        <v>19</v>
      </c>
      <c r="J38" s="15">
        <v>1</v>
      </c>
      <c r="K38" s="15" t="s">
        <v>20</v>
      </c>
      <c r="L38" s="15">
        <v>1</v>
      </c>
      <c r="M38" s="15" t="s">
        <v>20</v>
      </c>
      <c r="N38" s="15">
        <v>1</v>
      </c>
      <c r="O38" s="15" t="s">
        <v>20</v>
      </c>
      <c r="P38" s="15" t="s">
        <v>20</v>
      </c>
      <c r="Q38" s="15">
        <v>2</v>
      </c>
      <c r="R38" s="15" t="s">
        <v>20</v>
      </c>
      <c r="S38" s="16">
        <v>1996</v>
      </c>
      <c r="T38" s="5"/>
      <c r="U38" s="5"/>
    </row>
    <row r="39" spans="1:21" ht="10.5" hidden="1" customHeight="1" x14ac:dyDescent="0.3">
      <c r="A39" s="14">
        <v>1997</v>
      </c>
      <c r="B39" s="15">
        <v>30</v>
      </c>
      <c r="C39" s="15">
        <v>14</v>
      </c>
      <c r="D39" s="15">
        <v>5</v>
      </c>
      <c r="E39" s="15">
        <v>3</v>
      </c>
      <c r="F39" s="15">
        <v>1</v>
      </c>
      <c r="G39" s="15">
        <v>1</v>
      </c>
      <c r="H39" s="15">
        <v>1</v>
      </c>
      <c r="I39" s="15">
        <v>1</v>
      </c>
      <c r="J39" s="15">
        <v>1</v>
      </c>
      <c r="K39" s="15" t="s">
        <v>20</v>
      </c>
      <c r="L39" s="15">
        <v>1</v>
      </c>
      <c r="M39" s="15" t="s">
        <v>20</v>
      </c>
      <c r="N39" s="15">
        <v>1</v>
      </c>
      <c r="O39" s="15" t="s">
        <v>20</v>
      </c>
      <c r="P39" s="15" t="s">
        <v>20</v>
      </c>
      <c r="Q39" s="15">
        <v>1</v>
      </c>
      <c r="R39" s="15" t="s">
        <v>20</v>
      </c>
      <c r="S39" s="16">
        <v>1997</v>
      </c>
      <c r="T39" s="5"/>
      <c r="U39" s="5"/>
    </row>
    <row r="40" spans="1:21" ht="10.5" hidden="1" customHeight="1" x14ac:dyDescent="0.3">
      <c r="A40" s="14">
        <v>1998</v>
      </c>
      <c r="B40" s="15">
        <v>14</v>
      </c>
      <c r="C40" s="15">
        <v>9</v>
      </c>
      <c r="D40" s="15">
        <v>1</v>
      </c>
      <c r="E40" s="15">
        <v>1</v>
      </c>
      <c r="F40" s="15" t="s">
        <v>19</v>
      </c>
      <c r="G40" s="15">
        <v>1</v>
      </c>
      <c r="H40" s="15" t="s">
        <v>19</v>
      </c>
      <c r="I40" s="15">
        <v>1</v>
      </c>
      <c r="J40" s="15">
        <v>1</v>
      </c>
      <c r="K40" s="15" t="s">
        <v>20</v>
      </c>
      <c r="L40" s="15" t="s">
        <v>20</v>
      </c>
      <c r="M40" s="15" t="s">
        <v>20</v>
      </c>
      <c r="N40" s="15" t="s">
        <v>20</v>
      </c>
      <c r="O40" s="15" t="s">
        <v>20</v>
      </c>
      <c r="P40" s="15" t="s">
        <v>20</v>
      </c>
      <c r="Q40" s="15" t="s">
        <v>20</v>
      </c>
      <c r="R40" s="15" t="s">
        <v>20</v>
      </c>
      <c r="S40" s="16">
        <v>1998</v>
      </c>
      <c r="T40" s="5"/>
      <c r="U40" s="5"/>
    </row>
    <row r="41" spans="1:21" ht="10.5" hidden="1" customHeight="1" x14ac:dyDescent="0.3">
      <c r="A41" s="14">
        <v>1999</v>
      </c>
      <c r="B41" s="15">
        <v>13</v>
      </c>
      <c r="C41" s="15">
        <v>8</v>
      </c>
      <c r="D41" s="15">
        <v>1</v>
      </c>
      <c r="E41" s="15">
        <v>1</v>
      </c>
      <c r="F41" s="60" t="s">
        <v>109</v>
      </c>
      <c r="G41" s="15">
        <v>1</v>
      </c>
      <c r="H41" s="60" t="s">
        <v>109</v>
      </c>
      <c r="I41" s="15">
        <v>1</v>
      </c>
      <c r="J41" s="15">
        <v>1</v>
      </c>
      <c r="K41" s="60" t="s">
        <v>109</v>
      </c>
      <c r="L41" s="60" t="s">
        <v>109</v>
      </c>
      <c r="M41" s="60" t="s">
        <v>109</v>
      </c>
      <c r="N41" s="60" t="s">
        <v>109</v>
      </c>
      <c r="O41" s="60" t="s">
        <v>109</v>
      </c>
      <c r="P41" s="60" t="s">
        <v>109</v>
      </c>
      <c r="Q41" s="60" t="s">
        <v>109</v>
      </c>
      <c r="R41" s="60" t="s">
        <v>109</v>
      </c>
      <c r="S41" s="16">
        <v>1999</v>
      </c>
      <c r="T41" s="5"/>
      <c r="U41" s="5"/>
    </row>
    <row r="42" spans="1:21" ht="10.5" customHeight="1" x14ac:dyDescent="0.3">
      <c r="A42" s="14">
        <v>2000</v>
      </c>
      <c r="B42" s="15">
        <v>12</v>
      </c>
      <c r="C42" s="15">
        <v>8</v>
      </c>
      <c r="D42" s="60" t="s">
        <v>109</v>
      </c>
      <c r="E42" s="15">
        <v>1</v>
      </c>
      <c r="F42" s="60" t="s">
        <v>109</v>
      </c>
      <c r="G42" s="15">
        <v>1</v>
      </c>
      <c r="H42" s="60" t="s">
        <v>109</v>
      </c>
      <c r="I42" s="15">
        <v>1</v>
      </c>
      <c r="J42" s="15">
        <v>1</v>
      </c>
      <c r="K42" s="60" t="s">
        <v>109</v>
      </c>
      <c r="L42" s="60" t="s">
        <v>109</v>
      </c>
      <c r="M42" s="60" t="s">
        <v>109</v>
      </c>
      <c r="N42" s="60" t="s">
        <v>109</v>
      </c>
      <c r="O42" s="60" t="s">
        <v>109</v>
      </c>
      <c r="P42" s="60" t="s">
        <v>109</v>
      </c>
      <c r="Q42" s="60" t="s">
        <v>109</v>
      </c>
      <c r="R42" s="60" t="s">
        <v>109</v>
      </c>
      <c r="S42" s="16">
        <v>2000</v>
      </c>
      <c r="T42" s="5"/>
      <c r="U42" s="5"/>
    </row>
    <row r="43" spans="1:21" ht="10.5" customHeight="1" x14ac:dyDescent="0.3">
      <c r="A43" s="14">
        <v>2001</v>
      </c>
      <c r="B43" s="15">
        <v>7</v>
      </c>
      <c r="C43" s="15">
        <v>6</v>
      </c>
      <c r="D43" s="60" t="s">
        <v>109</v>
      </c>
      <c r="E43" s="60" t="s">
        <v>109</v>
      </c>
      <c r="F43" s="60" t="s">
        <v>109</v>
      </c>
      <c r="G43" s="15">
        <v>1</v>
      </c>
      <c r="H43" s="60" t="s">
        <v>109</v>
      </c>
      <c r="I43" s="60" t="s">
        <v>109</v>
      </c>
      <c r="J43" s="60" t="s">
        <v>109</v>
      </c>
      <c r="K43" s="60" t="s">
        <v>109</v>
      </c>
      <c r="L43" s="60" t="s">
        <v>109</v>
      </c>
      <c r="M43" s="60" t="s">
        <v>109</v>
      </c>
      <c r="N43" s="60" t="s">
        <v>109</v>
      </c>
      <c r="O43" s="60" t="s">
        <v>109</v>
      </c>
      <c r="P43" s="60" t="s">
        <v>109</v>
      </c>
      <c r="Q43" s="60" t="s">
        <v>109</v>
      </c>
      <c r="R43" s="60" t="s">
        <v>109</v>
      </c>
      <c r="S43" s="16">
        <v>2001</v>
      </c>
      <c r="T43" s="5"/>
      <c r="U43" s="5"/>
    </row>
    <row r="44" spans="1:21" ht="10.5" customHeight="1" x14ac:dyDescent="0.3">
      <c r="A44" s="14">
        <v>2002</v>
      </c>
      <c r="B44" s="15">
        <v>7</v>
      </c>
      <c r="C44" s="15">
        <v>6</v>
      </c>
      <c r="D44" s="60" t="s">
        <v>109</v>
      </c>
      <c r="E44" s="60" t="s">
        <v>109</v>
      </c>
      <c r="F44" s="60" t="s">
        <v>109</v>
      </c>
      <c r="G44" s="15">
        <v>1</v>
      </c>
      <c r="H44" s="60" t="s">
        <v>109</v>
      </c>
      <c r="I44" s="60" t="s">
        <v>109</v>
      </c>
      <c r="J44" s="60" t="s">
        <v>109</v>
      </c>
      <c r="K44" s="60" t="s">
        <v>109</v>
      </c>
      <c r="L44" s="60" t="s">
        <v>109</v>
      </c>
      <c r="M44" s="60" t="s">
        <v>109</v>
      </c>
      <c r="N44" s="60" t="s">
        <v>109</v>
      </c>
      <c r="O44" s="60" t="s">
        <v>109</v>
      </c>
      <c r="P44" s="60" t="s">
        <v>109</v>
      </c>
      <c r="Q44" s="60" t="s">
        <v>109</v>
      </c>
      <c r="R44" s="60" t="s">
        <v>109</v>
      </c>
      <c r="S44" s="16">
        <v>2002</v>
      </c>
      <c r="T44" s="5"/>
      <c r="U44" s="5"/>
    </row>
    <row r="45" spans="1:21" ht="6" customHeight="1" x14ac:dyDescent="0.3">
      <c r="A45" s="14" t="s">
        <v>1</v>
      </c>
      <c r="B45" s="15" t="s">
        <v>2</v>
      </c>
      <c r="C45" s="15" t="s">
        <v>3</v>
      </c>
      <c r="D45" s="15" t="s">
        <v>3</v>
      </c>
      <c r="E45" s="15" t="s">
        <v>3</v>
      </c>
      <c r="F45" s="15" t="s">
        <v>3</v>
      </c>
      <c r="G45" s="15" t="s">
        <v>3</v>
      </c>
      <c r="H45" s="15" t="s">
        <v>3</v>
      </c>
      <c r="I45" s="15" t="s">
        <v>3</v>
      </c>
      <c r="J45" s="15" t="s">
        <v>0</v>
      </c>
      <c r="K45" s="15" t="s">
        <v>0</v>
      </c>
      <c r="L45" s="15" t="s">
        <v>0</v>
      </c>
      <c r="M45" s="15" t="s">
        <v>0</v>
      </c>
      <c r="N45" s="15" t="s">
        <v>0</v>
      </c>
      <c r="O45" s="15" t="s">
        <v>0</v>
      </c>
      <c r="P45" s="15" t="s">
        <v>0</v>
      </c>
      <c r="Q45" s="15" t="s">
        <v>0</v>
      </c>
      <c r="R45" s="15" t="s">
        <v>0</v>
      </c>
      <c r="S45" s="16"/>
      <c r="T45" s="5"/>
      <c r="U45" s="5"/>
    </row>
    <row r="46" spans="1:21" ht="10.5" customHeight="1" x14ac:dyDescent="0.3">
      <c r="A46" s="14">
        <v>2003</v>
      </c>
      <c r="B46" s="15">
        <v>7</v>
      </c>
      <c r="C46" s="15">
        <v>6</v>
      </c>
      <c r="D46" s="60" t="s">
        <v>109</v>
      </c>
      <c r="E46" s="60" t="s">
        <v>109</v>
      </c>
      <c r="F46" s="60" t="s">
        <v>109</v>
      </c>
      <c r="G46" s="15">
        <v>1</v>
      </c>
      <c r="H46" s="60" t="s">
        <v>109</v>
      </c>
      <c r="I46" s="60" t="s">
        <v>109</v>
      </c>
      <c r="J46" s="60" t="s">
        <v>109</v>
      </c>
      <c r="K46" s="60" t="s">
        <v>109</v>
      </c>
      <c r="L46" s="60" t="s">
        <v>109</v>
      </c>
      <c r="M46" s="60" t="s">
        <v>109</v>
      </c>
      <c r="N46" s="60" t="s">
        <v>109</v>
      </c>
      <c r="O46" s="60" t="s">
        <v>109</v>
      </c>
      <c r="P46" s="60" t="s">
        <v>109</v>
      </c>
      <c r="Q46" s="60" t="s">
        <v>109</v>
      </c>
      <c r="R46" s="60" t="s">
        <v>109</v>
      </c>
      <c r="S46" s="16">
        <v>2003</v>
      </c>
      <c r="T46" s="5"/>
      <c r="U46" s="5"/>
    </row>
    <row r="47" spans="1:21" s="30" customFormat="1" ht="10.5" customHeight="1" x14ac:dyDescent="0.3">
      <c r="A47" s="17">
        <v>2004</v>
      </c>
      <c r="B47" s="15">
        <v>7</v>
      </c>
      <c r="C47" s="15">
        <v>6</v>
      </c>
      <c r="D47" s="60" t="s">
        <v>109</v>
      </c>
      <c r="E47" s="60" t="s">
        <v>109</v>
      </c>
      <c r="F47" s="60" t="s">
        <v>109</v>
      </c>
      <c r="G47" s="15">
        <v>1</v>
      </c>
      <c r="H47" s="60" t="s">
        <v>109</v>
      </c>
      <c r="I47" s="60" t="s">
        <v>109</v>
      </c>
      <c r="J47" s="60" t="s">
        <v>109</v>
      </c>
      <c r="K47" s="60" t="s">
        <v>109</v>
      </c>
      <c r="L47" s="60" t="s">
        <v>109</v>
      </c>
      <c r="M47" s="60" t="s">
        <v>109</v>
      </c>
      <c r="N47" s="60" t="s">
        <v>109</v>
      </c>
      <c r="O47" s="60" t="s">
        <v>109</v>
      </c>
      <c r="P47" s="60" t="s">
        <v>109</v>
      </c>
      <c r="Q47" s="60" t="s">
        <v>109</v>
      </c>
      <c r="R47" s="60" t="s">
        <v>109</v>
      </c>
      <c r="S47" s="17">
        <v>2004</v>
      </c>
      <c r="T47" s="5"/>
      <c r="U47" s="5"/>
    </row>
    <row r="48" spans="1:21" s="30" customFormat="1" ht="10.5" customHeight="1" x14ac:dyDescent="0.3">
      <c r="A48" s="17">
        <v>2005</v>
      </c>
      <c r="B48" s="15">
        <v>7</v>
      </c>
      <c r="C48" s="15">
        <v>6</v>
      </c>
      <c r="D48" s="60" t="s">
        <v>109</v>
      </c>
      <c r="E48" s="60" t="s">
        <v>109</v>
      </c>
      <c r="F48" s="60" t="s">
        <v>109</v>
      </c>
      <c r="G48" s="15">
        <v>1</v>
      </c>
      <c r="H48" s="60" t="s">
        <v>109</v>
      </c>
      <c r="I48" s="60" t="s">
        <v>109</v>
      </c>
      <c r="J48" s="60" t="s">
        <v>109</v>
      </c>
      <c r="K48" s="60" t="s">
        <v>109</v>
      </c>
      <c r="L48" s="60" t="s">
        <v>109</v>
      </c>
      <c r="M48" s="60" t="s">
        <v>109</v>
      </c>
      <c r="N48" s="60" t="s">
        <v>109</v>
      </c>
      <c r="O48" s="60" t="s">
        <v>109</v>
      </c>
      <c r="P48" s="60" t="s">
        <v>109</v>
      </c>
      <c r="Q48" s="60" t="s">
        <v>109</v>
      </c>
      <c r="R48" s="60" t="s">
        <v>109</v>
      </c>
      <c r="S48" s="17">
        <v>2005</v>
      </c>
      <c r="T48" s="5"/>
      <c r="U48" s="5"/>
    </row>
    <row r="49" spans="1:21" s="30" customFormat="1" ht="10.5" customHeight="1" x14ac:dyDescent="0.3">
      <c r="A49" s="17">
        <v>2006</v>
      </c>
      <c r="B49" s="15">
        <v>7</v>
      </c>
      <c r="C49" s="15">
        <v>6</v>
      </c>
      <c r="D49" s="60" t="s">
        <v>109</v>
      </c>
      <c r="E49" s="60" t="s">
        <v>109</v>
      </c>
      <c r="F49" s="60" t="s">
        <v>109</v>
      </c>
      <c r="G49" s="15">
        <v>1</v>
      </c>
      <c r="H49" s="60" t="s">
        <v>109</v>
      </c>
      <c r="I49" s="60" t="s">
        <v>109</v>
      </c>
      <c r="J49" s="60" t="s">
        <v>109</v>
      </c>
      <c r="K49" s="60" t="s">
        <v>109</v>
      </c>
      <c r="L49" s="60" t="s">
        <v>109</v>
      </c>
      <c r="M49" s="60" t="s">
        <v>109</v>
      </c>
      <c r="N49" s="60" t="s">
        <v>109</v>
      </c>
      <c r="O49" s="60" t="s">
        <v>109</v>
      </c>
      <c r="P49" s="60" t="s">
        <v>109</v>
      </c>
      <c r="Q49" s="60" t="s">
        <v>109</v>
      </c>
      <c r="R49" s="60" t="s">
        <v>109</v>
      </c>
      <c r="S49" s="17">
        <v>2006</v>
      </c>
      <c r="T49" s="5"/>
      <c r="U49" s="5"/>
    </row>
    <row r="50" spans="1:21" s="30" customFormat="1" ht="10.5" customHeight="1" x14ac:dyDescent="0.3">
      <c r="A50" s="17">
        <v>2007</v>
      </c>
      <c r="B50" s="18">
        <v>7</v>
      </c>
      <c r="C50" s="18">
        <v>6</v>
      </c>
      <c r="D50" s="66">
        <v>0</v>
      </c>
      <c r="E50" s="66">
        <v>0</v>
      </c>
      <c r="F50" s="66">
        <v>0</v>
      </c>
      <c r="G50" s="18">
        <v>1</v>
      </c>
      <c r="H50" s="66">
        <v>0</v>
      </c>
      <c r="I50" s="66">
        <v>0</v>
      </c>
      <c r="J50" s="66">
        <v>0</v>
      </c>
      <c r="K50" s="66">
        <v>0</v>
      </c>
      <c r="L50" s="66">
        <v>0</v>
      </c>
      <c r="M50" s="66">
        <v>0</v>
      </c>
      <c r="N50" s="66">
        <v>0</v>
      </c>
      <c r="O50" s="66">
        <v>0</v>
      </c>
      <c r="P50" s="66">
        <v>0</v>
      </c>
      <c r="Q50" s="66">
        <v>0</v>
      </c>
      <c r="R50" s="66">
        <v>0</v>
      </c>
      <c r="S50" s="17">
        <v>2007</v>
      </c>
      <c r="T50" s="5"/>
      <c r="U50" s="5"/>
    </row>
    <row r="51" spans="1:21" ht="16.5" customHeight="1" x14ac:dyDescent="0.3">
      <c r="A51" s="133" t="s">
        <v>144</v>
      </c>
      <c r="B51" s="133"/>
      <c r="C51" s="133"/>
      <c r="D51" s="133"/>
      <c r="E51" s="133"/>
      <c r="F51" s="133"/>
      <c r="G51" s="133"/>
      <c r="H51" s="133"/>
      <c r="I51" s="133"/>
      <c r="J51" s="133" t="s">
        <v>146</v>
      </c>
      <c r="K51" s="133"/>
      <c r="L51" s="133"/>
      <c r="M51" s="133"/>
      <c r="N51" s="133"/>
      <c r="O51" s="133"/>
      <c r="P51" s="133"/>
      <c r="Q51" s="133"/>
      <c r="R51" s="133"/>
      <c r="S51" s="133"/>
      <c r="T51" s="5"/>
      <c r="U51" s="5"/>
    </row>
    <row r="52" spans="1:21" ht="10.5" hidden="1" customHeight="1" x14ac:dyDescent="0.3">
      <c r="A52" s="14">
        <v>1994</v>
      </c>
      <c r="B52" s="15">
        <v>3682</v>
      </c>
      <c r="C52" s="15">
        <v>1491</v>
      </c>
      <c r="D52" s="15">
        <v>337</v>
      </c>
      <c r="E52" s="15">
        <v>234</v>
      </c>
      <c r="F52" s="15">
        <v>139</v>
      </c>
      <c r="G52" s="15">
        <v>108</v>
      </c>
      <c r="H52" s="15">
        <v>108</v>
      </c>
      <c r="I52" s="15" t="s">
        <v>19</v>
      </c>
      <c r="J52" s="15">
        <v>443</v>
      </c>
      <c r="K52" s="15">
        <v>62</v>
      </c>
      <c r="L52" s="15">
        <v>72</v>
      </c>
      <c r="M52" s="15">
        <v>65</v>
      </c>
      <c r="N52" s="15">
        <v>111</v>
      </c>
      <c r="O52" s="15">
        <v>78</v>
      </c>
      <c r="P52" s="15">
        <v>120</v>
      </c>
      <c r="Q52" s="15">
        <v>263</v>
      </c>
      <c r="R52" s="15">
        <v>51</v>
      </c>
      <c r="S52" s="16">
        <v>1994</v>
      </c>
    </row>
    <row r="53" spans="1:21" ht="10.5" hidden="1" customHeight="1" x14ac:dyDescent="0.3">
      <c r="A53" s="14">
        <v>1995</v>
      </c>
      <c r="B53" s="15">
        <v>4557</v>
      </c>
      <c r="C53" s="15">
        <v>1793</v>
      </c>
      <c r="D53" s="15">
        <v>405</v>
      </c>
      <c r="E53" s="15">
        <v>285</v>
      </c>
      <c r="F53" s="15">
        <v>178</v>
      </c>
      <c r="G53" s="15">
        <v>132</v>
      </c>
      <c r="H53" s="15">
        <v>130</v>
      </c>
      <c r="I53" s="15" t="s">
        <v>19</v>
      </c>
      <c r="J53" s="15">
        <v>599</v>
      </c>
      <c r="K53" s="15">
        <v>88</v>
      </c>
      <c r="L53" s="15">
        <v>90</v>
      </c>
      <c r="M53" s="15">
        <v>88</v>
      </c>
      <c r="N53" s="15">
        <v>134</v>
      </c>
      <c r="O53" s="15">
        <v>110</v>
      </c>
      <c r="P53" s="15">
        <v>153</v>
      </c>
      <c r="Q53" s="15">
        <v>315</v>
      </c>
      <c r="R53" s="15">
        <v>57</v>
      </c>
      <c r="S53" s="16">
        <v>1995</v>
      </c>
    </row>
    <row r="54" spans="1:21" ht="10.5" hidden="1" customHeight="1" x14ac:dyDescent="0.3">
      <c r="A54" s="14">
        <v>1996</v>
      </c>
      <c r="B54" s="15">
        <v>5105</v>
      </c>
      <c r="C54" s="15">
        <v>1955</v>
      </c>
      <c r="D54" s="15">
        <v>457</v>
      </c>
      <c r="E54" s="15">
        <v>315</v>
      </c>
      <c r="F54" s="15">
        <v>201</v>
      </c>
      <c r="G54" s="15">
        <v>149</v>
      </c>
      <c r="H54" s="15">
        <v>151</v>
      </c>
      <c r="I54" s="15" t="s">
        <v>19</v>
      </c>
      <c r="J54" s="15">
        <v>731</v>
      </c>
      <c r="K54" s="15">
        <v>101</v>
      </c>
      <c r="L54" s="15">
        <v>107</v>
      </c>
      <c r="M54" s="15">
        <v>95</v>
      </c>
      <c r="N54" s="15">
        <v>150</v>
      </c>
      <c r="O54" s="15">
        <v>121</v>
      </c>
      <c r="P54" s="15">
        <v>161</v>
      </c>
      <c r="Q54" s="15">
        <v>351</v>
      </c>
      <c r="R54" s="15">
        <v>60</v>
      </c>
      <c r="S54" s="16">
        <v>1996</v>
      </c>
    </row>
    <row r="55" spans="1:21" ht="10.5" hidden="1" customHeight="1" x14ac:dyDescent="0.3">
      <c r="A55" s="14">
        <v>1997</v>
      </c>
      <c r="B55" s="15">
        <v>5988</v>
      </c>
      <c r="C55" s="15">
        <v>2244</v>
      </c>
      <c r="D55" s="15">
        <v>527</v>
      </c>
      <c r="E55" s="15">
        <v>352</v>
      </c>
      <c r="F55" s="15">
        <v>256</v>
      </c>
      <c r="G55" s="15">
        <v>175</v>
      </c>
      <c r="H55" s="15">
        <v>183</v>
      </c>
      <c r="I55" s="15">
        <v>119</v>
      </c>
      <c r="J55" s="15">
        <v>913</v>
      </c>
      <c r="K55" s="15">
        <v>117</v>
      </c>
      <c r="L55" s="15">
        <v>133</v>
      </c>
      <c r="M55" s="15">
        <v>119</v>
      </c>
      <c r="N55" s="15">
        <v>176</v>
      </c>
      <c r="O55" s="15">
        <v>133</v>
      </c>
      <c r="P55" s="15">
        <v>192</v>
      </c>
      <c r="Q55" s="15">
        <v>280</v>
      </c>
      <c r="R55" s="15">
        <v>69</v>
      </c>
      <c r="S55" s="16">
        <v>1997</v>
      </c>
      <c r="T55" s="5"/>
    </row>
    <row r="56" spans="1:21" ht="10.5" hidden="1" customHeight="1" x14ac:dyDescent="0.3">
      <c r="A56" s="14">
        <v>1998</v>
      </c>
      <c r="B56" s="15">
        <v>5103</v>
      </c>
      <c r="C56" s="15">
        <v>2005</v>
      </c>
      <c r="D56" s="15">
        <v>463</v>
      </c>
      <c r="E56" s="15">
        <v>291</v>
      </c>
      <c r="F56" s="15">
        <v>203</v>
      </c>
      <c r="G56" s="15">
        <v>158</v>
      </c>
      <c r="H56" s="15">
        <v>136</v>
      </c>
      <c r="I56" s="15">
        <v>95</v>
      </c>
      <c r="J56" s="15">
        <v>732</v>
      </c>
      <c r="K56" s="15">
        <v>107</v>
      </c>
      <c r="L56" s="15">
        <v>116</v>
      </c>
      <c r="M56" s="15">
        <v>86</v>
      </c>
      <c r="N56" s="15">
        <v>145</v>
      </c>
      <c r="O56" s="15">
        <v>119</v>
      </c>
      <c r="P56" s="15">
        <v>149</v>
      </c>
      <c r="Q56" s="15">
        <v>235</v>
      </c>
      <c r="R56" s="15">
        <v>63</v>
      </c>
      <c r="S56" s="16">
        <v>1998</v>
      </c>
      <c r="T56" s="5"/>
      <c r="U56" s="5"/>
    </row>
    <row r="57" spans="1:21" ht="10.5" hidden="1" customHeight="1" x14ac:dyDescent="0.3">
      <c r="A57" s="14">
        <v>1999</v>
      </c>
      <c r="B57" s="15">
        <v>4853</v>
      </c>
      <c r="C57" s="15">
        <v>1957</v>
      </c>
      <c r="D57" s="15">
        <v>431</v>
      </c>
      <c r="E57" s="15">
        <v>280</v>
      </c>
      <c r="F57" s="15">
        <v>187</v>
      </c>
      <c r="G57" s="15">
        <v>152</v>
      </c>
      <c r="H57" s="15">
        <v>136</v>
      </c>
      <c r="I57" s="15">
        <v>89</v>
      </c>
      <c r="J57" s="15">
        <v>687</v>
      </c>
      <c r="K57" s="15">
        <v>85</v>
      </c>
      <c r="L57" s="15">
        <v>94</v>
      </c>
      <c r="M57" s="15">
        <v>87</v>
      </c>
      <c r="N57" s="15">
        <v>135</v>
      </c>
      <c r="O57" s="15">
        <v>112</v>
      </c>
      <c r="P57" s="15">
        <v>143</v>
      </c>
      <c r="Q57" s="15">
        <v>223</v>
      </c>
      <c r="R57" s="15">
        <v>55</v>
      </c>
      <c r="S57" s="16">
        <v>1999</v>
      </c>
      <c r="T57" s="5"/>
      <c r="U57" s="5"/>
    </row>
    <row r="58" spans="1:21" ht="10.5" customHeight="1" x14ac:dyDescent="0.3">
      <c r="A58" s="14">
        <v>2000</v>
      </c>
      <c r="B58" s="15">
        <v>4787</v>
      </c>
      <c r="C58" s="15">
        <v>1928</v>
      </c>
      <c r="D58" s="15">
        <v>424</v>
      </c>
      <c r="E58" s="15">
        <v>276</v>
      </c>
      <c r="F58" s="15">
        <v>184</v>
      </c>
      <c r="G58" s="15">
        <v>142</v>
      </c>
      <c r="H58" s="15">
        <v>139</v>
      </c>
      <c r="I58" s="15">
        <v>89</v>
      </c>
      <c r="J58" s="15">
        <v>690</v>
      </c>
      <c r="K58" s="15">
        <v>83</v>
      </c>
      <c r="L58" s="15">
        <v>88</v>
      </c>
      <c r="M58" s="15">
        <v>87</v>
      </c>
      <c r="N58" s="15">
        <v>137</v>
      </c>
      <c r="O58" s="15">
        <v>105</v>
      </c>
      <c r="P58" s="15">
        <v>142</v>
      </c>
      <c r="Q58" s="15">
        <v>220</v>
      </c>
      <c r="R58" s="15">
        <v>53</v>
      </c>
      <c r="S58" s="16">
        <v>2000</v>
      </c>
      <c r="T58" s="5"/>
      <c r="U58" s="5"/>
    </row>
    <row r="59" spans="1:21" ht="10.5" customHeight="1" x14ac:dyDescent="0.3">
      <c r="A59" s="14">
        <v>2001</v>
      </c>
      <c r="B59" s="15">
        <f>4763-1</f>
        <v>4762</v>
      </c>
      <c r="C59" s="15">
        <v>1922</v>
      </c>
      <c r="D59" s="15">
        <v>431</v>
      </c>
      <c r="E59" s="15">
        <v>267</v>
      </c>
      <c r="F59" s="15">
        <v>184</v>
      </c>
      <c r="G59" s="15">
        <v>143</v>
      </c>
      <c r="H59" s="15">
        <v>135</v>
      </c>
      <c r="I59" s="15">
        <v>84</v>
      </c>
      <c r="J59" s="15">
        <v>709</v>
      </c>
      <c r="K59" s="15">
        <v>82</v>
      </c>
      <c r="L59" s="15">
        <v>80</v>
      </c>
      <c r="M59" s="15">
        <v>90</v>
      </c>
      <c r="N59" s="15">
        <f>134-1</f>
        <v>133</v>
      </c>
      <c r="O59" s="15">
        <v>99</v>
      </c>
      <c r="P59" s="15">
        <v>144</v>
      </c>
      <c r="Q59" s="15">
        <v>207</v>
      </c>
      <c r="R59" s="15">
        <v>52</v>
      </c>
      <c r="S59" s="16">
        <v>2001</v>
      </c>
      <c r="T59" s="5"/>
      <c r="U59" s="5"/>
    </row>
    <row r="60" spans="1:21" ht="10.5" customHeight="1" x14ac:dyDescent="0.3">
      <c r="A60" s="14">
        <v>2002</v>
      </c>
      <c r="B60" s="15">
        <f>SUM(C60:R60)</f>
        <v>4947</v>
      </c>
      <c r="C60" s="15">
        <v>2011</v>
      </c>
      <c r="D60" s="15">
        <v>441</v>
      </c>
      <c r="E60" s="15">
        <v>281</v>
      </c>
      <c r="F60" s="15">
        <v>192</v>
      </c>
      <c r="G60" s="15">
        <v>151</v>
      </c>
      <c r="H60" s="15">
        <v>144</v>
      </c>
      <c r="I60" s="15">
        <v>89</v>
      </c>
      <c r="J60" s="15">
        <v>752</v>
      </c>
      <c r="K60" s="15">
        <v>80</v>
      </c>
      <c r="L60" s="15">
        <v>82</v>
      </c>
      <c r="M60" s="15">
        <v>88</v>
      </c>
      <c r="N60" s="15">
        <v>136</v>
      </c>
      <c r="O60" s="15">
        <v>93</v>
      </c>
      <c r="P60" s="15">
        <v>144</v>
      </c>
      <c r="Q60" s="15">
        <v>207</v>
      </c>
      <c r="R60" s="15">
        <v>56</v>
      </c>
      <c r="S60" s="16">
        <v>2002</v>
      </c>
      <c r="T60" s="5"/>
      <c r="U60" s="5"/>
    </row>
    <row r="61" spans="1:21" ht="4.5" customHeight="1" x14ac:dyDescent="0.3">
      <c r="A61" s="14" t="s">
        <v>1</v>
      </c>
      <c r="B61" s="15" t="s">
        <v>2</v>
      </c>
      <c r="C61" s="15" t="s">
        <v>3</v>
      </c>
      <c r="D61" s="15" t="s">
        <v>3</v>
      </c>
      <c r="E61" s="15" t="s">
        <v>3</v>
      </c>
      <c r="F61" s="15" t="s">
        <v>3</v>
      </c>
      <c r="G61" s="15" t="s">
        <v>3</v>
      </c>
      <c r="H61" s="15" t="s">
        <v>3</v>
      </c>
      <c r="I61" s="15" t="s">
        <v>3</v>
      </c>
      <c r="J61" s="15" t="s">
        <v>0</v>
      </c>
      <c r="K61" s="15" t="s">
        <v>0</v>
      </c>
      <c r="L61" s="15" t="s">
        <v>0</v>
      </c>
      <c r="M61" s="15" t="s">
        <v>0</v>
      </c>
      <c r="N61" s="15" t="s">
        <v>0</v>
      </c>
      <c r="O61" s="15" t="s">
        <v>0</v>
      </c>
      <c r="P61" s="15" t="s">
        <v>0</v>
      </c>
      <c r="Q61" s="15" t="s">
        <v>0</v>
      </c>
      <c r="R61" s="15" t="s">
        <v>0</v>
      </c>
      <c r="S61" s="16"/>
      <c r="T61" s="5"/>
      <c r="U61" s="5"/>
    </row>
    <row r="62" spans="1:21" ht="10.5" customHeight="1" x14ac:dyDescent="0.3">
      <c r="A62" s="14">
        <v>2003</v>
      </c>
      <c r="B62" s="15">
        <v>5004</v>
      </c>
      <c r="C62" s="15">
        <v>2003</v>
      </c>
      <c r="D62" s="15">
        <v>455</v>
      </c>
      <c r="E62" s="15">
        <v>279</v>
      </c>
      <c r="F62" s="15">
        <v>192</v>
      </c>
      <c r="G62" s="15">
        <v>150</v>
      </c>
      <c r="H62" s="15">
        <v>142</v>
      </c>
      <c r="I62" s="15">
        <v>90</v>
      </c>
      <c r="J62" s="15">
        <v>808</v>
      </c>
      <c r="K62" s="15">
        <v>74</v>
      </c>
      <c r="L62" s="15">
        <v>79</v>
      </c>
      <c r="M62" s="15">
        <v>86</v>
      </c>
      <c r="N62" s="15">
        <v>136</v>
      </c>
      <c r="O62" s="15">
        <v>94</v>
      </c>
      <c r="P62" s="15">
        <v>142</v>
      </c>
      <c r="Q62" s="15">
        <v>219</v>
      </c>
      <c r="R62" s="15">
        <v>55</v>
      </c>
      <c r="S62" s="16">
        <v>2003</v>
      </c>
      <c r="T62" s="5"/>
      <c r="U62" s="5"/>
    </row>
    <row r="63" spans="1:21" s="30" customFormat="1" ht="10.5" customHeight="1" x14ac:dyDescent="0.3">
      <c r="A63" s="17">
        <v>2004</v>
      </c>
      <c r="B63" s="15">
        <v>4993</v>
      </c>
      <c r="C63" s="15">
        <v>2016</v>
      </c>
      <c r="D63" s="15">
        <v>454</v>
      </c>
      <c r="E63" s="15">
        <v>272</v>
      </c>
      <c r="F63" s="15">
        <v>196</v>
      </c>
      <c r="G63" s="15">
        <v>150</v>
      </c>
      <c r="H63" s="15">
        <v>143</v>
      </c>
      <c r="I63" s="15">
        <v>87</v>
      </c>
      <c r="J63" s="15">
        <v>822</v>
      </c>
      <c r="K63" s="15">
        <v>69</v>
      </c>
      <c r="L63" s="15">
        <v>70</v>
      </c>
      <c r="M63" s="15">
        <v>88</v>
      </c>
      <c r="N63" s="15">
        <v>132</v>
      </c>
      <c r="O63" s="15">
        <v>91</v>
      </c>
      <c r="P63" s="15">
        <v>143</v>
      </c>
      <c r="Q63" s="15">
        <v>208</v>
      </c>
      <c r="R63" s="15">
        <v>52</v>
      </c>
      <c r="S63" s="17">
        <v>2004</v>
      </c>
      <c r="T63" s="5"/>
      <c r="U63" s="5"/>
    </row>
    <row r="64" spans="1:21" s="30" customFormat="1" ht="10.5" customHeight="1" x14ac:dyDescent="0.3">
      <c r="A64" s="17">
        <v>2005</v>
      </c>
      <c r="B64" s="15">
        <f>4993+876</f>
        <v>5869</v>
      </c>
      <c r="C64" s="15">
        <f>2016+375</f>
        <v>2391</v>
      </c>
      <c r="D64" s="15">
        <f>454+56</f>
        <v>510</v>
      </c>
      <c r="E64" s="15">
        <f>272+40</f>
        <v>312</v>
      </c>
      <c r="F64" s="15">
        <f>196+23</f>
        <v>219</v>
      </c>
      <c r="G64" s="15">
        <f>150+28</f>
        <v>178</v>
      </c>
      <c r="H64" s="15">
        <f>143+26</f>
        <v>169</v>
      </c>
      <c r="I64" s="15">
        <f>87+23</f>
        <v>110</v>
      </c>
      <c r="J64" s="15">
        <f>822+128</f>
        <v>950</v>
      </c>
      <c r="K64" s="15">
        <f>69+21</f>
        <v>90</v>
      </c>
      <c r="L64" s="15">
        <f>70+18</f>
        <v>88</v>
      </c>
      <c r="M64" s="15">
        <f>88+20</f>
        <v>108</v>
      </c>
      <c r="N64" s="15">
        <f>132+23</f>
        <v>155</v>
      </c>
      <c r="O64" s="15">
        <f>91+20</f>
        <v>111</v>
      </c>
      <c r="P64" s="15">
        <f>143+31</f>
        <v>174</v>
      </c>
      <c r="Q64" s="15">
        <f>208+33</f>
        <v>241</v>
      </c>
      <c r="R64" s="15">
        <f>52+11</f>
        <v>63</v>
      </c>
      <c r="S64" s="17">
        <v>2005</v>
      </c>
      <c r="T64" s="5"/>
      <c r="U64" s="5"/>
    </row>
    <row r="65" spans="1:21" s="30" customFormat="1" ht="10.5" customHeight="1" x14ac:dyDescent="0.3">
      <c r="A65" s="17">
        <v>2006</v>
      </c>
      <c r="B65" s="15">
        <f>SUM(C65:R65)</f>
        <v>6383</v>
      </c>
      <c r="C65" s="15">
        <v>2588</v>
      </c>
      <c r="D65" s="15">
        <v>538</v>
      </c>
      <c r="E65" s="15">
        <v>336</v>
      </c>
      <c r="F65" s="15">
        <v>245</v>
      </c>
      <c r="G65" s="15">
        <v>187</v>
      </c>
      <c r="H65" s="15">
        <v>175</v>
      </c>
      <c r="I65" s="15">
        <v>122</v>
      </c>
      <c r="J65" s="15">
        <v>1093</v>
      </c>
      <c r="K65" s="15">
        <v>92</v>
      </c>
      <c r="L65" s="15">
        <v>92</v>
      </c>
      <c r="M65" s="15">
        <v>119</v>
      </c>
      <c r="N65" s="15">
        <v>165</v>
      </c>
      <c r="O65" s="15">
        <v>116</v>
      </c>
      <c r="P65" s="15">
        <v>186</v>
      </c>
      <c r="Q65" s="15">
        <v>260</v>
      </c>
      <c r="R65" s="15">
        <v>69</v>
      </c>
      <c r="S65" s="17">
        <v>2006</v>
      </c>
      <c r="T65" s="5"/>
      <c r="U65" s="5"/>
    </row>
    <row r="66" spans="1:21" s="30" customFormat="1" ht="10.5" customHeight="1" x14ac:dyDescent="0.3">
      <c r="A66" s="17">
        <v>2007</v>
      </c>
      <c r="B66" s="15">
        <f>SUM(C66:R66)</f>
        <v>8557</v>
      </c>
      <c r="C66" s="18">
        <v>3180</v>
      </c>
      <c r="D66" s="18">
        <v>671</v>
      </c>
      <c r="E66" s="18">
        <v>430</v>
      </c>
      <c r="F66" s="18">
        <v>334</v>
      </c>
      <c r="G66" s="18">
        <v>246</v>
      </c>
      <c r="H66" s="18">
        <v>238</v>
      </c>
      <c r="I66" s="18">
        <v>167</v>
      </c>
      <c r="J66" s="18">
        <v>1533</v>
      </c>
      <c r="K66" s="18">
        <v>180</v>
      </c>
      <c r="L66" s="18">
        <v>161</v>
      </c>
      <c r="M66" s="18">
        <v>205</v>
      </c>
      <c r="N66" s="18">
        <v>239</v>
      </c>
      <c r="O66" s="18">
        <v>203</v>
      </c>
      <c r="P66" s="18">
        <v>281</v>
      </c>
      <c r="Q66" s="18">
        <v>392</v>
      </c>
      <c r="R66" s="18">
        <v>97</v>
      </c>
      <c r="S66" s="17">
        <v>2007</v>
      </c>
      <c r="T66" s="5"/>
      <c r="U66" s="5"/>
    </row>
    <row r="67" spans="1:21" ht="16.5" customHeight="1" x14ac:dyDescent="0.3">
      <c r="A67" s="133" t="s">
        <v>145</v>
      </c>
      <c r="B67" s="133"/>
      <c r="C67" s="133"/>
      <c r="D67" s="133"/>
      <c r="E67" s="133"/>
      <c r="F67" s="133"/>
      <c r="G67" s="133"/>
      <c r="H67" s="133"/>
      <c r="I67" s="133"/>
      <c r="J67" s="133" t="s">
        <v>145</v>
      </c>
      <c r="K67" s="133"/>
      <c r="L67" s="133"/>
      <c r="M67" s="133"/>
      <c r="N67" s="133"/>
      <c r="O67" s="133"/>
      <c r="P67" s="133"/>
      <c r="Q67" s="133"/>
      <c r="R67" s="133"/>
      <c r="S67" s="133"/>
      <c r="T67" s="5"/>
      <c r="U67" s="5"/>
    </row>
    <row r="68" spans="1:21" ht="10.5" hidden="1" customHeight="1" x14ac:dyDescent="0.3">
      <c r="A68" s="14">
        <v>1994</v>
      </c>
      <c r="B68" s="15">
        <v>195</v>
      </c>
      <c r="C68" s="15">
        <v>78</v>
      </c>
      <c r="D68" s="15">
        <v>21</v>
      </c>
      <c r="E68" s="15">
        <v>17</v>
      </c>
      <c r="F68" s="15">
        <v>7</v>
      </c>
      <c r="G68" s="15">
        <v>10</v>
      </c>
      <c r="H68" s="15">
        <v>9</v>
      </c>
      <c r="I68" s="15" t="s">
        <v>19</v>
      </c>
      <c r="J68" s="15">
        <v>16</v>
      </c>
      <c r="K68" s="15">
        <v>4</v>
      </c>
      <c r="L68" s="15">
        <v>6</v>
      </c>
      <c r="M68" s="15">
        <v>3</v>
      </c>
      <c r="N68" s="15">
        <v>7</v>
      </c>
      <c r="O68" s="15">
        <v>3</v>
      </c>
      <c r="P68" s="15">
        <v>4</v>
      </c>
      <c r="Q68" s="15">
        <v>8</v>
      </c>
      <c r="R68" s="15">
        <v>2</v>
      </c>
      <c r="S68" s="16">
        <v>1994</v>
      </c>
      <c r="T68" s="5"/>
      <c r="U68" s="5"/>
    </row>
    <row r="69" spans="1:21" ht="10.5" hidden="1" customHeight="1" x14ac:dyDescent="0.3">
      <c r="A69" s="14">
        <v>1995</v>
      </c>
      <c r="B69" s="15">
        <v>200</v>
      </c>
      <c r="C69" s="15">
        <v>76</v>
      </c>
      <c r="D69" s="15">
        <v>20</v>
      </c>
      <c r="E69" s="15">
        <v>18</v>
      </c>
      <c r="F69" s="15">
        <v>9</v>
      </c>
      <c r="G69" s="15">
        <v>10</v>
      </c>
      <c r="H69" s="15">
        <v>10</v>
      </c>
      <c r="I69" s="15" t="s">
        <v>19</v>
      </c>
      <c r="J69" s="15">
        <v>18</v>
      </c>
      <c r="K69" s="15">
        <v>4</v>
      </c>
      <c r="L69" s="15">
        <v>6</v>
      </c>
      <c r="M69" s="15">
        <v>4</v>
      </c>
      <c r="N69" s="15">
        <v>7</v>
      </c>
      <c r="O69" s="15">
        <v>3</v>
      </c>
      <c r="P69" s="15">
        <v>4</v>
      </c>
      <c r="Q69" s="15">
        <v>9</v>
      </c>
      <c r="R69" s="15">
        <v>2</v>
      </c>
      <c r="S69" s="16">
        <v>1995</v>
      </c>
      <c r="T69" s="5"/>
      <c r="U69" s="5"/>
    </row>
    <row r="70" spans="1:21" ht="10.5" hidden="1" customHeight="1" x14ac:dyDescent="0.3">
      <c r="A70" s="14">
        <v>1996</v>
      </c>
      <c r="B70" s="15">
        <v>259</v>
      </c>
      <c r="C70" s="15">
        <v>110</v>
      </c>
      <c r="D70" s="15">
        <v>23</v>
      </c>
      <c r="E70" s="15">
        <v>21</v>
      </c>
      <c r="F70" s="15">
        <v>10</v>
      </c>
      <c r="G70" s="15">
        <v>11</v>
      </c>
      <c r="H70" s="15">
        <v>11</v>
      </c>
      <c r="I70" s="15" t="s">
        <v>19</v>
      </c>
      <c r="J70" s="15">
        <v>23</v>
      </c>
      <c r="K70" s="15">
        <v>5</v>
      </c>
      <c r="L70" s="15">
        <v>6</v>
      </c>
      <c r="M70" s="15">
        <v>6</v>
      </c>
      <c r="N70" s="15">
        <v>8</v>
      </c>
      <c r="O70" s="15">
        <v>3</v>
      </c>
      <c r="P70" s="15">
        <v>7</v>
      </c>
      <c r="Q70" s="15">
        <v>13</v>
      </c>
      <c r="R70" s="15">
        <v>2</v>
      </c>
      <c r="S70" s="16">
        <v>1996</v>
      </c>
      <c r="T70" s="5"/>
      <c r="U70" s="5"/>
    </row>
    <row r="71" spans="1:21" ht="10.5" hidden="1" customHeight="1" x14ac:dyDescent="0.3">
      <c r="A71" s="14">
        <v>1997</v>
      </c>
      <c r="B71" s="15">
        <v>350</v>
      </c>
      <c r="C71" s="15">
        <v>143</v>
      </c>
      <c r="D71" s="15">
        <v>29</v>
      </c>
      <c r="E71" s="15">
        <v>27</v>
      </c>
      <c r="F71" s="15">
        <v>18</v>
      </c>
      <c r="G71" s="15">
        <v>14</v>
      </c>
      <c r="H71" s="15">
        <v>13</v>
      </c>
      <c r="I71" s="15">
        <v>6</v>
      </c>
      <c r="J71" s="15">
        <v>43</v>
      </c>
      <c r="K71" s="15">
        <v>5</v>
      </c>
      <c r="L71" s="15">
        <v>6</v>
      </c>
      <c r="M71" s="15">
        <v>6</v>
      </c>
      <c r="N71" s="15">
        <v>9</v>
      </c>
      <c r="O71" s="15">
        <v>6</v>
      </c>
      <c r="P71" s="15">
        <v>8</v>
      </c>
      <c r="Q71" s="15">
        <v>14</v>
      </c>
      <c r="R71" s="15">
        <v>3</v>
      </c>
      <c r="S71" s="16">
        <v>1997</v>
      </c>
      <c r="T71" s="5"/>
      <c r="U71" s="5"/>
    </row>
    <row r="72" spans="1:21" hidden="1" x14ac:dyDescent="0.3">
      <c r="A72" s="14">
        <v>1998</v>
      </c>
      <c r="B72" s="15">
        <v>234</v>
      </c>
      <c r="C72" s="15">
        <v>108</v>
      </c>
      <c r="D72" s="15">
        <v>28</v>
      </c>
      <c r="E72" s="15">
        <v>10</v>
      </c>
      <c r="F72" s="15">
        <v>7</v>
      </c>
      <c r="G72" s="15">
        <v>5</v>
      </c>
      <c r="H72" s="15">
        <v>13</v>
      </c>
      <c r="I72" s="15">
        <v>4</v>
      </c>
      <c r="J72" s="15">
        <v>24</v>
      </c>
      <c r="K72" s="15">
        <v>5</v>
      </c>
      <c r="L72" s="15">
        <v>7</v>
      </c>
      <c r="M72" s="15">
        <v>9</v>
      </c>
      <c r="N72" s="15">
        <v>3</v>
      </c>
      <c r="O72" s="15">
        <v>1</v>
      </c>
      <c r="P72" s="15">
        <v>3</v>
      </c>
      <c r="Q72" s="15">
        <v>6</v>
      </c>
      <c r="R72" s="15">
        <v>1</v>
      </c>
      <c r="S72" s="16">
        <v>1998</v>
      </c>
      <c r="T72" s="5"/>
      <c r="U72" s="5"/>
    </row>
    <row r="73" spans="1:21" ht="11.25" hidden="1" customHeight="1" x14ac:dyDescent="0.3">
      <c r="A73" s="14">
        <v>1999</v>
      </c>
      <c r="B73" s="32">
        <v>209</v>
      </c>
      <c r="C73" s="15">
        <v>100</v>
      </c>
      <c r="D73" s="15">
        <v>12</v>
      </c>
      <c r="E73" s="15">
        <v>10</v>
      </c>
      <c r="F73" s="15">
        <v>7</v>
      </c>
      <c r="G73" s="15">
        <v>5</v>
      </c>
      <c r="H73" s="15">
        <v>15</v>
      </c>
      <c r="I73" s="15">
        <v>2</v>
      </c>
      <c r="J73" s="15">
        <v>25</v>
      </c>
      <c r="K73" s="15">
        <v>5</v>
      </c>
      <c r="L73" s="15">
        <v>7</v>
      </c>
      <c r="M73" s="15">
        <v>8</v>
      </c>
      <c r="N73" s="15">
        <v>3</v>
      </c>
      <c r="O73" s="15">
        <v>2</v>
      </c>
      <c r="P73" s="15">
        <v>3</v>
      </c>
      <c r="Q73" s="15">
        <v>4</v>
      </c>
      <c r="R73" s="15">
        <v>1</v>
      </c>
      <c r="S73" s="16">
        <v>1999</v>
      </c>
      <c r="T73" s="5"/>
      <c r="U73" s="5"/>
    </row>
    <row r="74" spans="1:21" ht="10.5" customHeight="1" x14ac:dyDescent="0.3">
      <c r="A74" s="14">
        <v>2000</v>
      </c>
      <c r="B74" s="32">
        <v>27</v>
      </c>
      <c r="C74" s="15">
        <v>28</v>
      </c>
      <c r="D74" s="60" t="s">
        <v>109</v>
      </c>
      <c r="E74" s="60" t="s">
        <v>109</v>
      </c>
      <c r="F74" s="60" t="s">
        <v>109</v>
      </c>
      <c r="G74" s="60" t="s">
        <v>109</v>
      </c>
      <c r="H74" s="15">
        <v>1</v>
      </c>
      <c r="I74" s="60" t="s">
        <v>109</v>
      </c>
      <c r="J74" s="60" t="s">
        <v>109</v>
      </c>
      <c r="K74" s="60" t="s">
        <v>109</v>
      </c>
      <c r="L74" s="60" t="s">
        <v>109</v>
      </c>
      <c r="M74" s="60" t="s">
        <v>109</v>
      </c>
      <c r="N74" s="60" t="s">
        <v>109</v>
      </c>
      <c r="O74" s="60" t="s">
        <v>109</v>
      </c>
      <c r="P74" s="60" t="s">
        <v>109</v>
      </c>
      <c r="Q74" s="60" t="s">
        <v>109</v>
      </c>
      <c r="R74" s="60" t="s">
        <v>109</v>
      </c>
      <c r="S74" s="16">
        <v>2000</v>
      </c>
      <c r="T74" s="5"/>
      <c r="U74" s="5"/>
    </row>
    <row r="75" spans="1:21" ht="10.5" customHeight="1" x14ac:dyDescent="0.3">
      <c r="A75" s="14">
        <v>2001</v>
      </c>
      <c r="B75" s="32">
        <v>30</v>
      </c>
      <c r="C75" s="15">
        <v>29</v>
      </c>
      <c r="D75" s="60" t="s">
        <v>109</v>
      </c>
      <c r="E75" s="60" t="s">
        <v>109</v>
      </c>
      <c r="F75" s="60" t="s">
        <v>109</v>
      </c>
      <c r="G75" s="60" t="s">
        <v>109</v>
      </c>
      <c r="H75" s="15">
        <v>1</v>
      </c>
      <c r="I75" s="60" t="s">
        <v>109</v>
      </c>
      <c r="J75" s="60" t="s">
        <v>109</v>
      </c>
      <c r="K75" s="60" t="s">
        <v>109</v>
      </c>
      <c r="L75" s="60" t="s">
        <v>109</v>
      </c>
      <c r="M75" s="60" t="s">
        <v>109</v>
      </c>
      <c r="N75" s="60" t="s">
        <v>109</v>
      </c>
      <c r="O75" s="60" t="s">
        <v>109</v>
      </c>
      <c r="P75" s="60" t="s">
        <v>109</v>
      </c>
      <c r="Q75" s="60" t="s">
        <v>109</v>
      </c>
      <c r="R75" s="60" t="s">
        <v>109</v>
      </c>
      <c r="S75" s="16">
        <v>2001</v>
      </c>
      <c r="T75" s="5"/>
      <c r="U75" s="5"/>
    </row>
    <row r="76" spans="1:21" ht="10.5" customHeight="1" x14ac:dyDescent="0.3">
      <c r="A76" s="14">
        <v>2002</v>
      </c>
      <c r="B76" s="32">
        <v>31</v>
      </c>
      <c r="C76" s="15">
        <v>30</v>
      </c>
      <c r="D76" s="60" t="s">
        <v>109</v>
      </c>
      <c r="E76" s="60" t="s">
        <v>109</v>
      </c>
      <c r="F76" s="60" t="s">
        <v>109</v>
      </c>
      <c r="G76" s="60" t="s">
        <v>109</v>
      </c>
      <c r="H76" s="15">
        <v>1</v>
      </c>
      <c r="I76" s="60" t="s">
        <v>109</v>
      </c>
      <c r="J76" s="60" t="s">
        <v>109</v>
      </c>
      <c r="K76" s="60" t="s">
        <v>109</v>
      </c>
      <c r="L76" s="60" t="s">
        <v>109</v>
      </c>
      <c r="M76" s="60" t="s">
        <v>109</v>
      </c>
      <c r="N76" s="60" t="s">
        <v>109</v>
      </c>
      <c r="O76" s="60" t="s">
        <v>109</v>
      </c>
      <c r="P76" s="60" t="s">
        <v>109</v>
      </c>
      <c r="Q76" s="60" t="s">
        <v>109</v>
      </c>
      <c r="R76" s="60" t="s">
        <v>109</v>
      </c>
      <c r="S76" s="16">
        <v>2002</v>
      </c>
      <c r="T76" s="5"/>
      <c r="U76" s="5"/>
    </row>
    <row r="77" spans="1:21" ht="6" customHeight="1" x14ac:dyDescent="0.3">
      <c r="A77" s="14" t="s">
        <v>1</v>
      </c>
      <c r="B77" s="32" t="s">
        <v>2</v>
      </c>
      <c r="C77" s="15" t="s">
        <v>3</v>
      </c>
      <c r="D77" s="60" t="s">
        <v>109</v>
      </c>
      <c r="E77" s="60" t="s">
        <v>109</v>
      </c>
      <c r="F77" s="60" t="s">
        <v>109</v>
      </c>
      <c r="G77" s="60" t="s">
        <v>109</v>
      </c>
      <c r="H77" s="15" t="s">
        <v>3</v>
      </c>
      <c r="I77" s="60" t="s">
        <v>109</v>
      </c>
      <c r="J77" s="60" t="s">
        <v>109</v>
      </c>
      <c r="K77" s="60" t="s">
        <v>109</v>
      </c>
      <c r="L77" s="60" t="s">
        <v>109</v>
      </c>
      <c r="M77" s="60" t="s">
        <v>109</v>
      </c>
      <c r="N77" s="60" t="s">
        <v>109</v>
      </c>
      <c r="O77" s="60" t="s">
        <v>109</v>
      </c>
      <c r="P77" s="60" t="s">
        <v>109</v>
      </c>
      <c r="Q77" s="60" t="s">
        <v>109</v>
      </c>
      <c r="R77" s="60" t="s">
        <v>109</v>
      </c>
      <c r="S77" s="16"/>
      <c r="T77" s="5"/>
      <c r="U77" s="5"/>
    </row>
    <row r="78" spans="1:21" ht="10.5" customHeight="1" x14ac:dyDescent="0.3">
      <c r="A78" s="14">
        <v>2003</v>
      </c>
      <c r="B78" s="18">
        <v>35</v>
      </c>
      <c r="C78" s="18">
        <v>34</v>
      </c>
      <c r="D78" s="60" t="s">
        <v>109</v>
      </c>
      <c r="E78" s="60" t="s">
        <v>109</v>
      </c>
      <c r="F78" s="60" t="s">
        <v>109</v>
      </c>
      <c r="G78" s="60" t="s">
        <v>109</v>
      </c>
      <c r="H78" s="15">
        <v>1</v>
      </c>
      <c r="I78" s="60" t="s">
        <v>109</v>
      </c>
      <c r="J78" s="60" t="s">
        <v>109</v>
      </c>
      <c r="K78" s="60" t="s">
        <v>109</v>
      </c>
      <c r="L78" s="60" t="s">
        <v>109</v>
      </c>
      <c r="M78" s="60" t="s">
        <v>109</v>
      </c>
      <c r="N78" s="60" t="s">
        <v>109</v>
      </c>
      <c r="O78" s="60" t="s">
        <v>109</v>
      </c>
      <c r="P78" s="60" t="s">
        <v>109</v>
      </c>
      <c r="Q78" s="60" t="s">
        <v>109</v>
      </c>
      <c r="R78" s="60" t="s">
        <v>109</v>
      </c>
      <c r="S78" s="17">
        <v>2003</v>
      </c>
      <c r="T78" s="5"/>
      <c r="U78" s="5"/>
    </row>
    <row r="79" spans="1:21" s="30" customFormat="1" ht="10.5" customHeight="1" x14ac:dyDescent="0.3">
      <c r="A79" s="14">
        <v>2004</v>
      </c>
      <c r="B79" s="32">
        <v>34</v>
      </c>
      <c r="C79" s="15">
        <v>33</v>
      </c>
      <c r="D79" s="60" t="s">
        <v>109</v>
      </c>
      <c r="E79" s="60" t="s">
        <v>109</v>
      </c>
      <c r="F79" s="60" t="s">
        <v>109</v>
      </c>
      <c r="G79" s="60" t="s">
        <v>109</v>
      </c>
      <c r="H79" s="15">
        <v>1</v>
      </c>
      <c r="I79" s="60" t="s">
        <v>109</v>
      </c>
      <c r="J79" s="60" t="s">
        <v>109</v>
      </c>
      <c r="K79" s="60" t="s">
        <v>109</v>
      </c>
      <c r="L79" s="60" t="s">
        <v>109</v>
      </c>
      <c r="M79" s="60" t="s">
        <v>109</v>
      </c>
      <c r="N79" s="60" t="s">
        <v>109</v>
      </c>
      <c r="O79" s="60" t="s">
        <v>109</v>
      </c>
      <c r="P79" s="60" t="s">
        <v>109</v>
      </c>
      <c r="Q79" s="60" t="s">
        <v>109</v>
      </c>
      <c r="R79" s="60" t="s">
        <v>109</v>
      </c>
      <c r="S79" s="17">
        <v>2004</v>
      </c>
      <c r="T79" s="5"/>
      <c r="U79" s="5"/>
    </row>
    <row r="80" spans="1:21" s="30" customFormat="1" ht="10.5" customHeight="1" x14ac:dyDescent="0.3">
      <c r="A80" s="14">
        <v>2005</v>
      </c>
      <c r="B80" s="32">
        <v>30</v>
      </c>
      <c r="C80" s="15">
        <v>30</v>
      </c>
      <c r="D80" s="60" t="s">
        <v>109</v>
      </c>
      <c r="E80" s="60" t="s">
        <v>109</v>
      </c>
      <c r="F80" s="60" t="s">
        <v>109</v>
      </c>
      <c r="G80" s="60" t="s">
        <v>109</v>
      </c>
      <c r="H80" s="60" t="s">
        <v>109</v>
      </c>
      <c r="I80" s="60" t="s">
        <v>109</v>
      </c>
      <c r="J80" s="60" t="s">
        <v>109</v>
      </c>
      <c r="K80" s="60" t="s">
        <v>109</v>
      </c>
      <c r="L80" s="60" t="s">
        <v>109</v>
      </c>
      <c r="M80" s="60" t="s">
        <v>109</v>
      </c>
      <c r="N80" s="60" t="s">
        <v>109</v>
      </c>
      <c r="O80" s="60" t="s">
        <v>109</v>
      </c>
      <c r="P80" s="60" t="s">
        <v>109</v>
      </c>
      <c r="Q80" s="60" t="s">
        <v>109</v>
      </c>
      <c r="R80" s="60" t="s">
        <v>109</v>
      </c>
      <c r="S80" s="17">
        <v>2005</v>
      </c>
      <c r="T80" s="5"/>
      <c r="U80" s="5"/>
    </row>
    <row r="81" spans="1:21" s="30" customFormat="1" ht="10.5" customHeight="1" x14ac:dyDescent="0.3">
      <c r="A81" s="14">
        <v>2006</v>
      </c>
      <c r="B81" s="15">
        <f>SUM(C81:R81)</f>
        <v>9070</v>
      </c>
      <c r="C81" s="15">
        <v>3339</v>
      </c>
      <c r="D81" s="60">
        <v>751</v>
      </c>
      <c r="E81" s="60">
        <v>459</v>
      </c>
      <c r="F81" s="60">
        <v>347</v>
      </c>
      <c r="G81" s="60">
        <v>270</v>
      </c>
      <c r="H81" s="60">
        <v>268</v>
      </c>
      <c r="I81" s="60">
        <v>172</v>
      </c>
      <c r="J81" s="60">
        <v>1566</v>
      </c>
      <c r="K81" s="60">
        <v>238</v>
      </c>
      <c r="L81" s="60">
        <v>176</v>
      </c>
      <c r="M81" s="60">
        <v>218</v>
      </c>
      <c r="N81" s="60">
        <v>259</v>
      </c>
      <c r="O81" s="60">
        <v>208</v>
      </c>
      <c r="P81" s="60">
        <v>296</v>
      </c>
      <c r="Q81" s="60">
        <v>405</v>
      </c>
      <c r="R81" s="60">
        <v>98</v>
      </c>
      <c r="S81" s="17">
        <v>2006</v>
      </c>
      <c r="T81" s="5"/>
      <c r="U81" s="5"/>
    </row>
    <row r="82" spans="1:21" s="42" customFormat="1" ht="10.5" customHeight="1" x14ac:dyDescent="0.3">
      <c r="A82" s="14">
        <v>2007</v>
      </c>
      <c r="B82" s="15">
        <f>SUM(C82:R82)</f>
        <v>9816</v>
      </c>
      <c r="C82" s="15">
        <v>3576</v>
      </c>
      <c r="D82" s="15">
        <v>802</v>
      </c>
      <c r="E82" s="15">
        <v>496</v>
      </c>
      <c r="F82" s="15">
        <v>379</v>
      </c>
      <c r="G82" s="15">
        <v>300</v>
      </c>
      <c r="H82" s="15">
        <v>293</v>
      </c>
      <c r="I82" s="15">
        <v>201</v>
      </c>
      <c r="J82" s="15">
        <v>1689</v>
      </c>
      <c r="K82" s="15">
        <v>264</v>
      </c>
      <c r="L82" s="15">
        <v>195</v>
      </c>
      <c r="M82" s="15">
        <v>241</v>
      </c>
      <c r="N82" s="15">
        <v>285</v>
      </c>
      <c r="O82" s="15">
        <v>228</v>
      </c>
      <c r="P82" s="15">
        <v>317</v>
      </c>
      <c r="Q82" s="15">
        <v>446</v>
      </c>
      <c r="R82" s="15">
        <v>104</v>
      </c>
      <c r="S82" s="17">
        <v>2007</v>
      </c>
      <c r="T82" s="5"/>
      <c r="U82" s="5"/>
    </row>
    <row r="83" spans="1:21" ht="16.5" customHeight="1" x14ac:dyDescent="0.3">
      <c r="A83" s="133" t="s">
        <v>113</v>
      </c>
      <c r="B83" s="133"/>
      <c r="C83" s="133"/>
      <c r="D83" s="133"/>
      <c r="E83" s="133"/>
      <c r="F83" s="133"/>
      <c r="G83" s="133"/>
      <c r="H83" s="133"/>
      <c r="I83" s="133"/>
      <c r="J83" s="133" t="s">
        <v>114</v>
      </c>
      <c r="K83" s="133"/>
      <c r="L83" s="133"/>
      <c r="M83" s="133"/>
      <c r="N83" s="133"/>
      <c r="O83" s="133"/>
      <c r="P83" s="133"/>
      <c r="Q83" s="133"/>
      <c r="R83" s="133"/>
      <c r="S83" s="61"/>
      <c r="T83" s="5"/>
      <c r="U83" s="5"/>
    </row>
    <row r="84" spans="1:21" ht="10.5" hidden="1" customHeight="1" x14ac:dyDescent="0.3">
      <c r="A84" s="14">
        <v>1994</v>
      </c>
      <c r="B84" s="15">
        <v>336</v>
      </c>
      <c r="C84" s="15">
        <v>75</v>
      </c>
      <c r="D84" s="15">
        <v>38</v>
      </c>
      <c r="E84" s="15">
        <v>18</v>
      </c>
      <c r="F84" s="15">
        <v>17</v>
      </c>
      <c r="G84" s="15">
        <v>13</v>
      </c>
      <c r="H84" s="15">
        <v>8</v>
      </c>
      <c r="I84" s="15" t="s">
        <v>19</v>
      </c>
      <c r="J84" s="15">
        <v>44</v>
      </c>
      <c r="K84" s="15">
        <v>8</v>
      </c>
      <c r="L84" s="15">
        <v>10</v>
      </c>
      <c r="M84" s="15">
        <v>25</v>
      </c>
      <c r="N84" s="15">
        <v>14</v>
      </c>
      <c r="O84" s="15">
        <v>15</v>
      </c>
      <c r="P84" s="15">
        <v>29</v>
      </c>
      <c r="Q84" s="15">
        <v>15</v>
      </c>
      <c r="R84" s="15">
        <v>7</v>
      </c>
      <c r="S84" s="16">
        <v>1994</v>
      </c>
      <c r="T84" s="5"/>
      <c r="U84" s="5"/>
    </row>
    <row r="85" spans="1:21" ht="10.5" hidden="1" customHeight="1" x14ac:dyDescent="0.3">
      <c r="A85" s="14">
        <v>1995</v>
      </c>
      <c r="B85" s="15">
        <v>336</v>
      </c>
      <c r="C85" s="15">
        <v>75</v>
      </c>
      <c r="D85" s="15">
        <v>38</v>
      </c>
      <c r="E85" s="15">
        <v>18</v>
      </c>
      <c r="F85" s="15">
        <v>17</v>
      </c>
      <c r="G85" s="15">
        <v>13</v>
      </c>
      <c r="H85" s="15">
        <v>8</v>
      </c>
      <c r="I85" s="15" t="s">
        <v>19</v>
      </c>
      <c r="J85" s="15">
        <v>44</v>
      </c>
      <c r="K85" s="15">
        <v>8</v>
      </c>
      <c r="L85" s="15">
        <v>10</v>
      </c>
      <c r="M85" s="15">
        <v>25</v>
      </c>
      <c r="N85" s="15">
        <v>14</v>
      </c>
      <c r="O85" s="15">
        <v>15</v>
      </c>
      <c r="P85" s="15">
        <v>29</v>
      </c>
      <c r="Q85" s="15">
        <v>15</v>
      </c>
      <c r="R85" s="15">
        <v>7</v>
      </c>
      <c r="S85" s="16">
        <v>1995</v>
      </c>
      <c r="T85" s="5"/>
      <c r="U85" s="5"/>
    </row>
    <row r="86" spans="1:21" ht="10.5" hidden="1" customHeight="1" x14ac:dyDescent="0.3">
      <c r="A86" s="14">
        <v>1996</v>
      </c>
      <c r="B86" s="15">
        <v>336</v>
      </c>
      <c r="C86" s="15">
        <v>75</v>
      </c>
      <c r="D86" s="15">
        <v>38</v>
      </c>
      <c r="E86" s="15">
        <v>18</v>
      </c>
      <c r="F86" s="15">
        <v>17</v>
      </c>
      <c r="G86" s="15">
        <v>13</v>
      </c>
      <c r="H86" s="15">
        <v>8</v>
      </c>
      <c r="I86" s="15" t="s">
        <v>19</v>
      </c>
      <c r="J86" s="15">
        <v>44</v>
      </c>
      <c r="K86" s="15">
        <v>8</v>
      </c>
      <c r="L86" s="15">
        <v>10</v>
      </c>
      <c r="M86" s="15">
        <v>25</v>
      </c>
      <c r="N86" s="15">
        <v>14</v>
      </c>
      <c r="O86" s="15">
        <v>15</v>
      </c>
      <c r="P86" s="15">
        <v>29</v>
      </c>
      <c r="Q86" s="15">
        <v>15</v>
      </c>
      <c r="R86" s="15">
        <v>7</v>
      </c>
      <c r="S86" s="16">
        <v>1996</v>
      </c>
      <c r="T86" s="5"/>
      <c r="U86" s="5"/>
    </row>
    <row r="87" spans="1:21" ht="10.5" hidden="1" customHeight="1" x14ac:dyDescent="0.3">
      <c r="A87" s="14">
        <v>1997</v>
      </c>
      <c r="B87" s="15">
        <v>341</v>
      </c>
      <c r="C87" s="15">
        <v>76</v>
      </c>
      <c r="D87" s="15">
        <v>39</v>
      </c>
      <c r="E87" s="15">
        <v>19</v>
      </c>
      <c r="F87" s="15">
        <v>17</v>
      </c>
      <c r="G87" s="15">
        <v>15</v>
      </c>
      <c r="H87" s="15">
        <v>9</v>
      </c>
      <c r="I87" s="15">
        <v>2</v>
      </c>
      <c r="J87" s="15">
        <v>44</v>
      </c>
      <c r="K87" s="15">
        <v>8</v>
      </c>
      <c r="L87" s="15">
        <v>10</v>
      </c>
      <c r="M87" s="15">
        <v>24</v>
      </c>
      <c r="N87" s="15">
        <v>14</v>
      </c>
      <c r="O87" s="15">
        <v>15</v>
      </c>
      <c r="P87" s="15">
        <v>29</v>
      </c>
      <c r="Q87" s="15">
        <v>13</v>
      </c>
      <c r="R87" s="15">
        <v>7</v>
      </c>
      <c r="S87" s="16">
        <v>1997</v>
      </c>
      <c r="T87" s="5"/>
      <c r="U87" s="5"/>
    </row>
    <row r="88" spans="1:21" ht="10.5" hidden="1" customHeight="1" x14ac:dyDescent="0.3">
      <c r="A88" s="14">
        <v>1998</v>
      </c>
      <c r="B88" s="15">
        <v>312</v>
      </c>
      <c r="C88" s="15">
        <v>74</v>
      </c>
      <c r="D88" s="15">
        <v>37</v>
      </c>
      <c r="E88" s="15">
        <v>18</v>
      </c>
      <c r="F88" s="15">
        <v>17</v>
      </c>
      <c r="G88" s="15">
        <v>11</v>
      </c>
      <c r="H88" s="15">
        <v>7</v>
      </c>
      <c r="I88" s="15">
        <v>1</v>
      </c>
      <c r="J88" s="15">
        <v>41</v>
      </c>
      <c r="K88" s="15">
        <v>8</v>
      </c>
      <c r="L88" s="15">
        <v>9</v>
      </c>
      <c r="M88" s="15">
        <v>22</v>
      </c>
      <c r="N88" s="15">
        <v>14</v>
      </c>
      <c r="O88" s="15">
        <v>13</v>
      </c>
      <c r="P88" s="15">
        <v>19</v>
      </c>
      <c r="Q88" s="15">
        <v>14</v>
      </c>
      <c r="R88" s="15">
        <v>7</v>
      </c>
      <c r="S88" s="16">
        <v>1998</v>
      </c>
      <c r="T88" s="5"/>
      <c r="U88" s="5"/>
    </row>
    <row r="89" spans="1:21" ht="10.5" hidden="1" customHeight="1" x14ac:dyDescent="0.3">
      <c r="A89" s="14">
        <v>1999</v>
      </c>
      <c r="B89" s="15">
        <v>278</v>
      </c>
      <c r="C89" s="15">
        <v>70</v>
      </c>
      <c r="D89" s="15">
        <v>32</v>
      </c>
      <c r="E89" s="15">
        <v>11</v>
      </c>
      <c r="F89" s="15">
        <v>16</v>
      </c>
      <c r="G89" s="15">
        <v>8</v>
      </c>
      <c r="H89" s="15">
        <v>5</v>
      </c>
      <c r="I89" s="15">
        <v>2</v>
      </c>
      <c r="J89" s="15">
        <v>41</v>
      </c>
      <c r="K89" s="15">
        <v>8</v>
      </c>
      <c r="L89" s="15">
        <v>9</v>
      </c>
      <c r="M89" s="15">
        <v>14</v>
      </c>
      <c r="N89" s="15">
        <v>13</v>
      </c>
      <c r="O89" s="15">
        <v>12</v>
      </c>
      <c r="P89" s="15">
        <v>17</v>
      </c>
      <c r="Q89" s="15">
        <v>13</v>
      </c>
      <c r="R89" s="15">
        <v>7</v>
      </c>
      <c r="S89" s="16">
        <v>1999</v>
      </c>
      <c r="T89" s="5"/>
      <c r="U89" s="5"/>
    </row>
    <row r="90" spans="1:21" ht="10.5" customHeight="1" x14ac:dyDescent="0.3">
      <c r="A90" s="14">
        <v>2000</v>
      </c>
      <c r="B90" s="15">
        <v>265</v>
      </c>
      <c r="C90" s="15">
        <v>74</v>
      </c>
      <c r="D90" s="15">
        <v>31</v>
      </c>
      <c r="E90" s="15">
        <v>10</v>
      </c>
      <c r="F90" s="15">
        <v>20</v>
      </c>
      <c r="G90" s="15">
        <v>6</v>
      </c>
      <c r="H90" s="15">
        <v>12</v>
      </c>
      <c r="I90" s="15">
        <v>1</v>
      </c>
      <c r="J90" s="15">
        <v>33</v>
      </c>
      <c r="K90" s="15">
        <v>7</v>
      </c>
      <c r="L90" s="15">
        <v>9</v>
      </c>
      <c r="M90" s="15">
        <v>7</v>
      </c>
      <c r="N90" s="15">
        <v>13</v>
      </c>
      <c r="O90" s="15">
        <v>9</v>
      </c>
      <c r="P90" s="15">
        <v>14</v>
      </c>
      <c r="Q90" s="15">
        <v>13</v>
      </c>
      <c r="R90" s="15">
        <v>6</v>
      </c>
      <c r="S90" s="16">
        <v>2000</v>
      </c>
      <c r="T90" s="5"/>
      <c r="U90" s="5"/>
    </row>
    <row r="91" spans="1:21" ht="10.5" customHeight="1" x14ac:dyDescent="0.3">
      <c r="A91" s="14">
        <v>2001</v>
      </c>
      <c r="B91" s="15">
        <v>227</v>
      </c>
      <c r="C91" s="15">
        <v>56</v>
      </c>
      <c r="D91" s="15">
        <v>25</v>
      </c>
      <c r="E91" s="15">
        <v>7</v>
      </c>
      <c r="F91" s="15">
        <v>16</v>
      </c>
      <c r="G91" s="15">
        <v>6</v>
      </c>
      <c r="H91" s="15">
        <v>8</v>
      </c>
      <c r="I91" s="60" t="s">
        <v>109</v>
      </c>
      <c r="J91" s="15">
        <v>27</v>
      </c>
      <c r="K91" s="15">
        <v>8</v>
      </c>
      <c r="L91" s="15">
        <v>9</v>
      </c>
      <c r="M91" s="15">
        <v>6</v>
      </c>
      <c r="N91" s="15">
        <v>13</v>
      </c>
      <c r="O91" s="15">
        <v>15</v>
      </c>
      <c r="P91" s="15">
        <v>15</v>
      </c>
      <c r="Q91" s="15">
        <v>11</v>
      </c>
      <c r="R91" s="15">
        <v>5</v>
      </c>
      <c r="S91" s="16">
        <v>2001</v>
      </c>
      <c r="T91" s="5"/>
      <c r="U91" s="5"/>
    </row>
    <row r="92" spans="1:21" ht="10.5" customHeight="1" x14ac:dyDescent="0.3">
      <c r="A92" s="14">
        <v>2002</v>
      </c>
      <c r="B92" s="15">
        <v>234</v>
      </c>
      <c r="C92" s="15">
        <v>63</v>
      </c>
      <c r="D92" s="15">
        <v>25</v>
      </c>
      <c r="E92" s="15">
        <v>8</v>
      </c>
      <c r="F92" s="15">
        <v>16</v>
      </c>
      <c r="G92" s="15">
        <v>6</v>
      </c>
      <c r="H92" s="15">
        <v>8</v>
      </c>
      <c r="I92" s="60" t="s">
        <v>109</v>
      </c>
      <c r="J92" s="15">
        <v>22</v>
      </c>
      <c r="K92" s="15">
        <v>8</v>
      </c>
      <c r="L92" s="15">
        <v>10</v>
      </c>
      <c r="M92" s="15">
        <v>6</v>
      </c>
      <c r="N92" s="15">
        <v>12</v>
      </c>
      <c r="O92" s="15">
        <v>16</v>
      </c>
      <c r="P92" s="15">
        <v>14</v>
      </c>
      <c r="Q92" s="15">
        <v>12</v>
      </c>
      <c r="R92" s="15">
        <v>8</v>
      </c>
      <c r="S92" s="16">
        <v>2002</v>
      </c>
      <c r="T92" s="5"/>
      <c r="U92" s="5"/>
    </row>
    <row r="93" spans="1:21" ht="6" customHeight="1" x14ac:dyDescent="0.3">
      <c r="A93" s="14" t="s">
        <v>1</v>
      </c>
      <c r="B93" s="15" t="s">
        <v>2</v>
      </c>
      <c r="C93" s="15" t="s">
        <v>3</v>
      </c>
      <c r="D93" s="15" t="s">
        <v>3</v>
      </c>
      <c r="E93" s="15" t="s">
        <v>3</v>
      </c>
      <c r="F93" s="15" t="s">
        <v>3</v>
      </c>
      <c r="G93" s="15" t="s">
        <v>3</v>
      </c>
      <c r="H93" s="15" t="s">
        <v>3</v>
      </c>
      <c r="I93" s="15" t="s">
        <v>3</v>
      </c>
      <c r="J93" s="15" t="s">
        <v>0</v>
      </c>
      <c r="K93" s="15" t="s">
        <v>0</v>
      </c>
      <c r="L93" s="15" t="s">
        <v>0</v>
      </c>
      <c r="M93" s="15" t="s">
        <v>0</v>
      </c>
      <c r="N93" s="15" t="s">
        <v>0</v>
      </c>
      <c r="O93" s="15" t="s">
        <v>0</v>
      </c>
      <c r="P93" s="15" t="s">
        <v>0</v>
      </c>
      <c r="Q93" s="15" t="s">
        <v>0</v>
      </c>
      <c r="R93" s="15" t="s">
        <v>0</v>
      </c>
      <c r="S93" s="16"/>
      <c r="T93" s="5"/>
      <c r="U93" s="5"/>
    </row>
    <row r="94" spans="1:21" ht="10.5" customHeight="1" x14ac:dyDescent="0.3">
      <c r="A94" s="67" t="s">
        <v>115</v>
      </c>
      <c r="B94" s="15">
        <v>241</v>
      </c>
      <c r="C94" s="15">
        <v>74</v>
      </c>
      <c r="D94" s="15">
        <v>25</v>
      </c>
      <c r="E94" s="15">
        <v>6</v>
      </c>
      <c r="F94" s="15">
        <v>11</v>
      </c>
      <c r="G94" s="15">
        <v>10</v>
      </c>
      <c r="H94" s="15">
        <v>4</v>
      </c>
      <c r="I94" s="15">
        <v>2</v>
      </c>
      <c r="J94" s="15">
        <v>28</v>
      </c>
      <c r="K94" s="15">
        <v>8</v>
      </c>
      <c r="L94" s="15">
        <v>10</v>
      </c>
      <c r="M94" s="15">
        <v>13</v>
      </c>
      <c r="N94" s="15">
        <v>12</v>
      </c>
      <c r="O94" s="15">
        <v>9</v>
      </c>
      <c r="P94" s="15">
        <v>15</v>
      </c>
      <c r="Q94" s="15">
        <v>10</v>
      </c>
      <c r="R94" s="15">
        <v>4</v>
      </c>
      <c r="S94" s="16">
        <v>2003</v>
      </c>
      <c r="T94" s="5"/>
      <c r="U94" s="5"/>
    </row>
    <row r="95" spans="1:21" s="30" customFormat="1" ht="10.5" customHeight="1" x14ac:dyDescent="0.3">
      <c r="A95" s="14">
        <v>2004</v>
      </c>
      <c r="B95" s="15">
        <v>246</v>
      </c>
      <c r="C95" s="15">
        <v>77</v>
      </c>
      <c r="D95" s="15">
        <v>25</v>
      </c>
      <c r="E95" s="15">
        <v>6</v>
      </c>
      <c r="F95" s="15">
        <v>11</v>
      </c>
      <c r="G95" s="15">
        <v>10</v>
      </c>
      <c r="H95" s="15">
        <v>4</v>
      </c>
      <c r="I95" s="15">
        <v>2</v>
      </c>
      <c r="J95" s="15">
        <v>33</v>
      </c>
      <c r="K95" s="15">
        <v>8</v>
      </c>
      <c r="L95" s="15">
        <v>10</v>
      </c>
      <c r="M95" s="15">
        <v>13</v>
      </c>
      <c r="N95" s="15">
        <v>12</v>
      </c>
      <c r="O95" s="15">
        <v>7</v>
      </c>
      <c r="P95" s="15">
        <v>15</v>
      </c>
      <c r="Q95" s="15">
        <v>9</v>
      </c>
      <c r="R95" s="15">
        <v>4</v>
      </c>
      <c r="S95" s="17">
        <v>2004</v>
      </c>
      <c r="T95" s="34"/>
      <c r="U95" s="34"/>
    </row>
    <row r="96" spans="1:21" s="30" customFormat="1" ht="10.5" customHeight="1" x14ac:dyDescent="0.3">
      <c r="A96" s="14">
        <v>2005</v>
      </c>
      <c r="B96" s="15">
        <v>256</v>
      </c>
      <c r="C96" s="15">
        <v>83</v>
      </c>
      <c r="D96" s="15">
        <v>24</v>
      </c>
      <c r="E96" s="15">
        <v>6</v>
      </c>
      <c r="F96" s="15">
        <v>11</v>
      </c>
      <c r="G96" s="15">
        <v>10</v>
      </c>
      <c r="H96" s="15">
        <v>4</v>
      </c>
      <c r="I96" s="15">
        <v>2</v>
      </c>
      <c r="J96" s="15">
        <v>36</v>
      </c>
      <c r="K96" s="15">
        <v>8</v>
      </c>
      <c r="L96" s="15">
        <v>10</v>
      </c>
      <c r="M96" s="15">
        <v>13</v>
      </c>
      <c r="N96" s="15">
        <v>12</v>
      </c>
      <c r="O96" s="15">
        <v>7</v>
      </c>
      <c r="P96" s="15">
        <v>16</v>
      </c>
      <c r="Q96" s="15">
        <v>10</v>
      </c>
      <c r="R96" s="15">
        <v>4</v>
      </c>
      <c r="S96" s="17">
        <v>2005</v>
      </c>
      <c r="T96" s="34"/>
      <c r="U96" s="34"/>
    </row>
    <row r="97" spans="1:21" s="30" customFormat="1" ht="10.5" customHeight="1" x14ac:dyDescent="0.3">
      <c r="A97" s="14">
        <v>2006</v>
      </c>
      <c r="B97" s="15">
        <f>SUM(C97:R97)</f>
        <v>278</v>
      </c>
      <c r="C97" s="15">
        <v>98</v>
      </c>
      <c r="D97" s="15">
        <v>22</v>
      </c>
      <c r="E97" s="15">
        <v>7</v>
      </c>
      <c r="F97" s="15">
        <v>12</v>
      </c>
      <c r="G97" s="15">
        <v>10</v>
      </c>
      <c r="H97" s="15">
        <v>4</v>
      </c>
      <c r="I97" s="15">
        <v>2</v>
      </c>
      <c r="J97" s="15">
        <v>45</v>
      </c>
      <c r="K97" s="15">
        <v>8</v>
      </c>
      <c r="L97" s="15">
        <v>10</v>
      </c>
      <c r="M97" s="15">
        <v>13</v>
      </c>
      <c r="N97" s="15">
        <v>12</v>
      </c>
      <c r="O97" s="15">
        <v>7</v>
      </c>
      <c r="P97" s="15">
        <v>13</v>
      </c>
      <c r="Q97" s="15">
        <v>11</v>
      </c>
      <c r="R97" s="15">
        <v>4</v>
      </c>
      <c r="S97" s="17">
        <v>2006</v>
      </c>
      <c r="T97" s="34"/>
      <c r="U97" s="34"/>
    </row>
    <row r="98" spans="1:21" s="30" customFormat="1" ht="10.5" customHeight="1" x14ac:dyDescent="0.3">
      <c r="A98" s="17">
        <v>2007</v>
      </c>
      <c r="B98" s="15">
        <f>SUM(C98:R98)</f>
        <v>312</v>
      </c>
      <c r="C98" s="15">
        <v>112</v>
      </c>
      <c r="D98" s="15">
        <v>27</v>
      </c>
      <c r="E98" s="15">
        <v>8</v>
      </c>
      <c r="F98" s="15">
        <v>12</v>
      </c>
      <c r="G98" s="15">
        <v>11</v>
      </c>
      <c r="H98" s="15">
        <v>5</v>
      </c>
      <c r="I98" s="15">
        <v>3</v>
      </c>
      <c r="J98" s="15">
        <v>53</v>
      </c>
      <c r="K98" s="15">
        <v>8</v>
      </c>
      <c r="L98" s="15">
        <v>11</v>
      </c>
      <c r="M98" s="15">
        <v>13</v>
      </c>
      <c r="N98" s="15">
        <v>13</v>
      </c>
      <c r="O98" s="15">
        <v>7</v>
      </c>
      <c r="P98" s="15">
        <v>13</v>
      </c>
      <c r="Q98" s="15">
        <v>12</v>
      </c>
      <c r="R98" s="15">
        <v>4</v>
      </c>
      <c r="S98" s="17">
        <v>2007</v>
      </c>
      <c r="T98" s="34"/>
      <c r="U98" s="34"/>
    </row>
    <row r="99" spans="1:21" ht="5.25" customHeight="1" x14ac:dyDescent="0.3">
      <c r="A99" s="68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70"/>
    </row>
    <row r="100" spans="1:21" ht="11.15" customHeight="1" x14ac:dyDescent="0.3">
      <c r="A100" s="71" t="s">
        <v>116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61"/>
    </row>
    <row r="101" spans="1:21" ht="11.15" customHeight="1" x14ac:dyDescent="0.3">
      <c r="A101" s="71" t="s">
        <v>117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61"/>
    </row>
    <row r="102" spans="1:21" ht="11.15" customHeight="1" x14ac:dyDescent="0.3">
      <c r="A102" s="71" t="s">
        <v>147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61"/>
    </row>
    <row r="103" spans="1:21" ht="23.25" customHeight="1" x14ac:dyDescent="0.3">
      <c r="A103" s="134" t="s">
        <v>149</v>
      </c>
      <c r="B103" s="134"/>
      <c r="C103" s="134"/>
      <c r="D103" s="134"/>
      <c r="E103" s="134"/>
      <c r="F103" s="134"/>
      <c r="G103" s="134"/>
      <c r="H103" s="134"/>
      <c r="I103" s="134"/>
      <c r="J103" s="30"/>
      <c r="K103" s="30"/>
      <c r="L103" s="30"/>
      <c r="M103" s="30"/>
      <c r="N103" s="30"/>
      <c r="O103" s="30"/>
      <c r="P103" s="30"/>
      <c r="Q103" s="30"/>
      <c r="R103" s="30"/>
      <c r="S103" s="61"/>
    </row>
    <row r="104" spans="1:21" ht="11.15" customHeight="1" x14ac:dyDescent="0.3">
      <c r="A104" s="71" t="s">
        <v>120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61"/>
    </row>
    <row r="105" spans="1:21" x14ac:dyDescent="0.3">
      <c r="A105" s="72" t="s">
        <v>121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61"/>
    </row>
    <row r="106" spans="1:21" x14ac:dyDescent="0.3">
      <c r="A106" s="72" t="s">
        <v>122</v>
      </c>
    </row>
  </sheetData>
  <mergeCells count="14">
    <mergeCell ref="A103:I103"/>
    <mergeCell ref="J51:S51"/>
    <mergeCell ref="A83:I83"/>
    <mergeCell ref="J83:R83"/>
    <mergeCell ref="A35:I35"/>
    <mergeCell ref="J35:S35"/>
    <mergeCell ref="A67:I67"/>
    <mergeCell ref="J67:S67"/>
    <mergeCell ref="A51:I51"/>
    <mergeCell ref="A1:S1"/>
    <mergeCell ref="A4:I4"/>
    <mergeCell ref="J4:S4"/>
    <mergeCell ref="A19:I19"/>
    <mergeCell ref="J19:S19"/>
  </mergeCells>
  <phoneticPr fontId="2" type="noConversion"/>
  <printOptions verticalCentered="1"/>
  <pageMargins left="1.3779527559055118" right="0" top="0.74803149606299213" bottom="0" header="0.51181102362204722" footer="0.51181102362204722"/>
  <pageSetup paperSize="9" scale="98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24"/>
  </sheetPr>
  <dimension ref="A1:AI108"/>
  <sheetViews>
    <sheetView zoomScaleNormal="100" workbookViewId="0">
      <pane xSplit="1" ySplit="10" topLeftCell="D17" activePane="bottomRight" state="frozen"/>
      <selection sqref="A1:IV65536"/>
      <selection pane="topRight" sqref="A1:IV65536"/>
      <selection pane="bottomLeft" sqref="A1:IV65536"/>
      <selection pane="bottomRight" sqref="A1:IV65536"/>
    </sheetView>
  </sheetViews>
  <sheetFormatPr defaultColWidth="8.86328125" defaultRowHeight="11.6" x14ac:dyDescent="0.3"/>
  <cols>
    <col min="1" max="1" width="7.33203125" style="73" customWidth="1"/>
    <col min="2" max="2" width="8.19921875" style="4" customWidth="1"/>
    <col min="3" max="3" width="8.796875" style="4" customWidth="1"/>
    <col min="4" max="4" width="8" style="4" customWidth="1"/>
    <col min="5" max="8" width="7.796875" style="4" customWidth="1"/>
    <col min="9" max="9" width="7.53125" style="4" customWidth="1"/>
    <col min="10" max="18" width="7.33203125" style="4" customWidth="1"/>
    <col min="19" max="19" width="7.33203125" style="73" customWidth="1"/>
    <col min="20" max="16384" width="8.86328125" style="4"/>
  </cols>
  <sheetData>
    <row r="1" spans="1:35" ht="18.45" x14ac:dyDescent="0.3">
      <c r="A1" s="132" t="s">
        <v>127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</row>
    <row r="2" spans="1:35" x14ac:dyDescent="0.3">
      <c r="A2" s="61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61"/>
    </row>
    <row r="3" spans="1:35" ht="15" customHeight="1" x14ac:dyDescent="0.3">
      <c r="A3" s="63" t="s">
        <v>4</v>
      </c>
      <c r="B3" s="74" t="s">
        <v>5</v>
      </c>
      <c r="C3" s="74" t="s">
        <v>6</v>
      </c>
      <c r="D3" s="74" t="s">
        <v>7</v>
      </c>
      <c r="E3" s="74" t="s">
        <v>8</v>
      </c>
      <c r="F3" s="74" t="s">
        <v>9</v>
      </c>
      <c r="G3" s="74" t="s">
        <v>23</v>
      </c>
      <c r="H3" s="74" t="s">
        <v>24</v>
      </c>
      <c r="I3" s="74" t="s">
        <v>128</v>
      </c>
      <c r="J3" s="64" t="s">
        <v>129</v>
      </c>
      <c r="K3" s="74" t="s">
        <v>10</v>
      </c>
      <c r="L3" s="74" t="s">
        <v>11</v>
      </c>
      <c r="M3" s="74" t="s">
        <v>12</v>
      </c>
      <c r="N3" s="74" t="s">
        <v>13</v>
      </c>
      <c r="O3" s="74" t="s">
        <v>14</v>
      </c>
      <c r="P3" s="74" t="s">
        <v>15</v>
      </c>
      <c r="Q3" s="74" t="s">
        <v>16</v>
      </c>
      <c r="R3" s="74" t="s">
        <v>17</v>
      </c>
      <c r="S3" s="65" t="s">
        <v>18</v>
      </c>
    </row>
    <row r="4" spans="1:35" ht="16.5" customHeight="1" x14ac:dyDescent="0.3">
      <c r="A4" s="133" t="s">
        <v>130</v>
      </c>
      <c r="B4" s="133"/>
      <c r="C4" s="133"/>
      <c r="D4" s="133"/>
      <c r="E4" s="133"/>
      <c r="F4" s="133"/>
      <c r="G4" s="133"/>
      <c r="H4" s="133"/>
      <c r="I4" s="133"/>
      <c r="J4" s="133" t="s">
        <v>130</v>
      </c>
      <c r="K4" s="133"/>
      <c r="L4" s="133"/>
      <c r="M4" s="133"/>
      <c r="N4" s="133"/>
      <c r="O4" s="133"/>
      <c r="P4" s="133"/>
      <c r="Q4" s="133"/>
      <c r="R4" s="133"/>
      <c r="S4" s="133"/>
    </row>
    <row r="5" spans="1:35" ht="3" hidden="1" customHeight="1" x14ac:dyDescent="0.3">
      <c r="A5" s="14">
        <v>1994</v>
      </c>
      <c r="B5" s="15">
        <v>1617</v>
      </c>
      <c r="C5" s="15">
        <v>251</v>
      </c>
      <c r="D5" s="15">
        <v>75</v>
      </c>
      <c r="E5" s="15">
        <v>134</v>
      </c>
      <c r="F5" s="15">
        <v>64</v>
      </c>
      <c r="G5" s="15">
        <v>76</v>
      </c>
      <c r="H5" s="15">
        <v>65</v>
      </c>
      <c r="I5" s="15" t="s">
        <v>20</v>
      </c>
      <c r="J5" s="15">
        <v>126</v>
      </c>
      <c r="K5" s="15">
        <v>88</v>
      </c>
      <c r="L5" s="15">
        <v>127</v>
      </c>
      <c r="M5" s="15">
        <v>103</v>
      </c>
      <c r="N5" s="15">
        <v>115</v>
      </c>
      <c r="O5" s="15">
        <v>89</v>
      </c>
      <c r="P5" s="15">
        <v>118</v>
      </c>
      <c r="Q5" s="15">
        <v>152</v>
      </c>
      <c r="R5" s="15">
        <v>34</v>
      </c>
      <c r="S5" s="16">
        <v>1994</v>
      </c>
    </row>
    <row r="6" spans="1:35" ht="10.5" hidden="1" customHeight="1" x14ac:dyDescent="0.3">
      <c r="A6" s="14">
        <v>1995</v>
      </c>
      <c r="B6" s="15">
        <v>1665</v>
      </c>
      <c r="C6" s="15">
        <v>259</v>
      </c>
      <c r="D6" s="15">
        <v>84</v>
      </c>
      <c r="E6" s="15">
        <v>145</v>
      </c>
      <c r="F6" s="15">
        <v>69</v>
      </c>
      <c r="G6" s="15">
        <v>79</v>
      </c>
      <c r="H6" s="15">
        <v>71</v>
      </c>
      <c r="I6" s="15" t="s">
        <v>20</v>
      </c>
      <c r="J6" s="15">
        <v>124</v>
      </c>
      <c r="K6" s="15">
        <v>88</v>
      </c>
      <c r="L6" s="15">
        <v>126</v>
      </c>
      <c r="M6" s="15">
        <v>103</v>
      </c>
      <c r="N6" s="15">
        <v>115</v>
      </c>
      <c r="O6" s="15">
        <v>91</v>
      </c>
      <c r="P6" s="15">
        <v>117</v>
      </c>
      <c r="Q6" s="15">
        <v>159</v>
      </c>
      <c r="R6" s="15">
        <v>35</v>
      </c>
      <c r="S6" s="16">
        <v>1995</v>
      </c>
    </row>
    <row r="7" spans="1:35" ht="10.5" hidden="1" customHeight="1" x14ac:dyDescent="0.3">
      <c r="A7" s="14">
        <v>1996</v>
      </c>
      <c r="B7" s="15">
        <v>1670</v>
      </c>
      <c r="C7" s="15">
        <v>254</v>
      </c>
      <c r="D7" s="15">
        <v>89</v>
      </c>
      <c r="E7" s="15">
        <v>158</v>
      </c>
      <c r="F7" s="15">
        <v>68</v>
      </c>
      <c r="G7" s="15">
        <v>79</v>
      </c>
      <c r="H7" s="15">
        <v>72</v>
      </c>
      <c r="I7" s="15" t="s">
        <v>20</v>
      </c>
      <c r="J7" s="15">
        <v>123</v>
      </c>
      <c r="K7" s="15">
        <v>85</v>
      </c>
      <c r="L7" s="15">
        <v>124</v>
      </c>
      <c r="M7" s="15">
        <v>99</v>
      </c>
      <c r="N7" s="15">
        <v>112</v>
      </c>
      <c r="O7" s="15">
        <v>89</v>
      </c>
      <c r="P7" s="15">
        <v>116</v>
      </c>
      <c r="Q7" s="15">
        <v>166</v>
      </c>
      <c r="R7" s="15">
        <v>36</v>
      </c>
      <c r="S7" s="16">
        <v>1996</v>
      </c>
    </row>
    <row r="8" spans="1:35" ht="10.5" hidden="1" customHeight="1" x14ac:dyDescent="0.3">
      <c r="A8" s="14">
        <v>1997</v>
      </c>
      <c r="B8" s="15">
        <v>1666</v>
      </c>
      <c r="C8" s="15">
        <v>248</v>
      </c>
      <c r="D8" s="15">
        <v>89</v>
      </c>
      <c r="E8" s="15">
        <v>161</v>
      </c>
      <c r="F8" s="15">
        <v>67</v>
      </c>
      <c r="G8" s="15">
        <v>81</v>
      </c>
      <c r="H8" s="15">
        <v>72</v>
      </c>
      <c r="I8" s="15">
        <v>37</v>
      </c>
      <c r="J8" s="15">
        <v>125</v>
      </c>
      <c r="K8" s="15">
        <v>85</v>
      </c>
      <c r="L8" s="15">
        <v>125</v>
      </c>
      <c r="M8" s="15">
        <v>99</v>
      </c>
      <c r="N8" s="15">
        <v>112</v>
      </c>
      <c r="O8" s="15">
        <v>88</v>
      </c>
      <c r="P8" s="15">
        <v>115</v>
      </c>
      <c r="Q8" s="15">
        <v>126</v>
      </c>
      <c r="R8" s="15">
        <v>36</v>
      </c>
      <c r="S8" s="16">
        <v>1997</v>
      </c>
      <c r="T8" s="5"/>
    </row>
    <row r="9" spans="1:35" ht="10.5" hidden="1" customHeight="1" x14ac:dyDescent="0.3">
      <c r="A9" s="14">
        <v>1998</v>
      </c>
      <c r="B9" s="15">
        <v>1592</v>
      </c>
      <c r="C9" s="15">
        <v>222</v>
      </c>
      <c r="D9" s="15">
        <v>83</v>
      </c>
      <c r="E9" s="15">
        <v>141</v>
      </c>
      <c r="F9" s="15">
        <v>64</v>
      </c>
      <c r="G9" s="15">
        <v>81</v>
      </c>
      <c r="H9" s="15">
        <v>69</v>
      </c>
      <c r="I9" s="15">
        <v>35</v>
      </c>
      <c r="J9" s="15">
        <v>124</v>
      </c>
      <c r="K9" s="15">
        <v>85</v>
      </c>
      <c r="L9" s="15">
        <v>123</v>
      </c>
      <c r="M9" s="15">
        <v>97</v>
      </c>
      <c r="N9" s="15">
        <v>113</v>
      </c>
      <c r="O9" s="15">
        <v>88</v>
      </c>
      <c r="P9" s="15">
        <v>107</v>
      </c>
      <c r="Q9" s="15">
        <v>123</v>
      </c>
      <c r="R9" s="15">
        <v>37</v>
      </c>
      <c r="S9" s="16">
        <v>1998</v>
      </c>
      <c r="T9" s="5"/>
      <c r="U9" s="5"/>
    </row>
    <row r="10" spans="1:35" ht="10.5" hidden="1" customHeight="1" x14ac:dyDescent="0.3">
      <c r="A10" s="14">
        <v>1999</v>
      </c>
      <c r="B10" s="15">
        <v>1442</v>
      </c>
      <c r="C10" s="15">
        <v>206</v>
      </c>
      <c r="D10" s="15">
        <v>77</v>
      </c>
      <c r="E10" s="15">
        <v>117</v>
      </c>
      <c r="F10" s="15">
        <v>61</v>
      </c>
      <c r="G10" s="15">
        <v>78</v>
      </c>
      <c r="H10" s="15">
        <v>66</v>
      </c>
      <c r="I10" s="15">
        <v>28</v>
      </c>
      <c r="J10" s="15">
        <v>119</v>
      </c>
      <c r="K10" s="15">
        <v>72</v>
      </c>
      <c r="L10" s="15">
        <v>109</v>
      </c>
      <c r="M10" s="15">
        <v>80</v>
      </c>
      <c r="N10" s="15">
        <v>105</v>
      </c>
      <c r="O10" s="15">
        <v>73</v>
      </c>
      <c r="P10" s="15">
        <v>102</v>
      </c>
      <c r="Q10" s="15">
        <v>113</v>
      </c>
      <c r="R10" s="15">
        <v>36</v>
      </c>
      <c r="S10" s="16">
        <v>1999</v>
      </c>
      <c r="T10" s="5"/>
      <c r="U10" s="5"/>
    </row>
    <row r="11" spans="1:35" ht="10.5" customHeight="1" x14ac:dyDescent="0.3">
      <c r="A11" s="14">
        <v>2000</v>
      </c>
      <c r="B11" s="15">
        <v>1317</v>
      </c>
      <c r="C11" s="15">
        <v>190</v>
      </c>
      <c r="D11" s="15">
        <v>72</v>
      </c>
      <c r="E11" s="15">
        <v>107</v>
      </c>
      <c r="F11" s="15">
        <v>56</v>
      </c>
      <c r="G11" s="15">
        <v>72</v>
      </c>
      <c r="H11" s="15">
        <v>61</v>
      </c>
      <c r="I11" s="15">
        <v>23</v>
      </c>
      <c r="J11" s="15">
        <v>112</v>
      </c>
      <c r="K11" s="15">
        <v>64</v>
      </c>
      <c r="L11" s="15">
        <v>97</v>
      </c>
      <c r="M11" s="15">
        <v>76</v>
      </c>
      <c r="N11" s="15">
        <v>99</v>
      </c>
      <c r="O11" s="15">
        <v>67</v>
      </c>
      <c r="P11" s="15">
        <v>96</v>
      </c>
      <c r="Q11" s="15">
        <v>92</v>
      </c>
      <c r="R11" s="15">
        <v>33</v>
      </c>
      <c r="S11" s="16">
        <v>2000</v>
      </c>
      <c r="T11" s="5"/>
      <c r="U11" s="5"/>
    </row>
    <row r="12" spans="1:35" ht="10.5" customHeight="1" x14ac:dyDescent="0.3">
      <c r="A12" s="14">
        <v>2001</v>
      </c>
      <c r="B12" s="15">
        <v>1268</v>
      </c>
      <c r="C12" s="15">
        <v>182</v>
      </c>
      <c r="D12" s="15">
        <v>72</v>
      </c>
      <c r="E12" s="15">
        <v>98</v>
      </c>
      <c r="F12" s="15">
        <v>55</v>
      </c>
      <c r="G12" s="15">
        <v>70</v>
      </c>
      <c r="H12" s="15">
        <v>57</v>
      </c>
      <c r="I12" s="15">
        <v>22</v>
      </c>
      <c r="J12" s="15">
        <v>111</v>
      </c>
      <c r="K12" s="15">
        <v>60</v>
      </c>
      <c r="L12" s="15">
        <v>96</v>
      </c>
      <c r="M12" s="15">
        <v>72</v>
      </c>
      <c r="N12" s="15">
        <v>94</v>
      </c>
      <c r="O12" s="15">
        <v>66</v>
      </c>
      <c r="P12" s="15">
        <v>90</v>
      </c>
      <c r="Q12" s="15">
        <v>91</v>
      </c>
      <c r="R12" s="15">
        <v>32</v>
      </c>
      <c r="S12" s="16">
        <v>2001</v>
      </c>
      <c r="T12" s="5"/>
      <c r="U12" s="5"/>
    </row>
    <row r="13" spans="1:35" ht="6" customHeight="1" x14ac:dyDescent="0.3">
      <c r="A13" s="14" t="s">
        <v>1</v>
      </c>
      <c r="B13" s="15" t="s">
        <v>2</v>
      </c>
      <c r="C13" s="15" t="s">
        <v>3</v>
      </c>
      <c r="D13" s="15" t="s">
        <v>3</v>
      </c>
      <c r="E13" s="15" t="s">
        <v>3</v>
      </c>
      <c r="F13" s="15" t="s">
        <v>3</v>
      </c>
      <c r="G13" s="15" t="s">
        <v>0</v>
      </c>
      <c r="H13" s="15" t="s">
        <v>0</v>
      </c>
      <c r="I13" s="15" t="s">
        <v>0</v>
      </c>
      <c r="J13" s="15" t="s">
        <v>0</v>
      </c>
      <c r="K13" s="15" t="s">
        <v>0</v>
      </c>
      <c r="L13" s="15" t="s">
        <v>0</v>
      </c>
      <c r="M13" s="15" t="s">
        <v>0</v>
      </c>
      <c r="N13" s="15" t="s">
        <v>0</v>
      </c>
      <c r="O13" s="15" t="s">
        <v>0</v>
      </c>
      <c r="P13" s="15" t="s">
        <v>0</v>
      </c>
      <c r="Q13" s="15" t="s">
        <v>0</v>
      </c>
      <c r="R13" s="15" t="s">
        <v>0</v>
      </c>
      <c r="S13" s="16"/>
      <c r="T13" s="5"/>
      <c r="U13" s="5"/>
    </row>
    <row r="14" spans="1:35" ht="10.5" customHeight="1" x14ac:dyDescent="0.3">
      <c r="A14" s="14">
        <v>2002</v>
      </c>
      <c r="B14" s="15">
        <v>1233</v>
      </c>
      <c r="C14" s="15">
        <v>169</v>
      </c>
      <c r="D14" s="15">
        <v>68</v>
      </c>
      <c r="E14" s="15">
        <v>96</v>
      </c>
      <c r="F14" s="15">
        <v>55</v>
      </c>
      <c r="G14" s="15">
        <v>69</v>
      </c>
      <c r="H14" s="15">
        <v>55</v>
      </c>
      <c r="I14" s="15">
        <v>22</v>
      </c>
      <c r="J14" s="15">
        <v>112</v>
      </c>
      <c r="K14" s="15">
        <v>57</v>
      </c>
      <c r="L14" s="15">
        <v>95</v>
      </c>
      <c r="M14" s="15">
        <v>70</v>
      </c>
      <c r="N14" s="15">
        <v>92</v>
      </c>
      <c r="O14" s="15">
        <v>65</v>
      </c>
      <c r="P14" s="15">
        <v>90</v>
      </c>
      <c r="Q14" s="15">
        <v>86</v>
      </c>
      <c r="R14" s="15">
        <v>32</v>
      </c>
      <c r="S14" s="16">
        <v>2002</v>
      </c>
      <c r="T14" s="5"/>
      <c r="U14" s="5"/>
    </row>
    <row r="15" spans="1:35" ht="10.5" customHeight="1" x14ac:dyDescent="0.3">
      <c r="A15" s="14">
        <v>2003</v>
      </c>
      <c r="B15" s="15">
        <v>1086</v>
      </c>
      <c r="C15" s="15">
        <v>161</v>
      </c>
      <c r="D15" s="15">
        <v>61</v>
      </c>
      <c r="E15" s="15">
        <v>71</v>
      </c>
      <c r="F15" s="15">
        <v>53</v>
      </c>
      <c r="G15" s="15">
        <v>56</v>
      </c>
      <c r="H15" s="15">
        <v>50</v>
      </c>
      <c r="I15" s="15">
        <v>15</v>
      </c>
      <c r="J15" s="15">
        <v>110</v>
      </c>
      <c r="K15" s="15">
        <v>47</v>
      </c>
      <c r="L15" s="15">
        <v>90</v>
      </c>
      <c r="M15" s="15">
        <v>60</v>
      </c>
      <c r="N15" s="15">
        <v>88</v>
      </c>
      <c r="O15" s="15">
        <v>56</v>
      </c>
      <c r="P15" s="15">
        <v>67</v>
      </c>
      <c r="Q15" s="15">
        <v>70</v>
      </c>
      <c r="R15" s="15">
        <v>31</v>
      </c>
      <c r="S15" s="16">
        <v>2003</v>
      </c>
      <c r="T15" s="5"/>
      <c r="U15" s="5"/>
    </row>
    <row r="16" spans="1:35" s="30" customFormat="1" ht="10.5" customHeight="1" x14ac:dyDescent="0.3">
      <c r="A16" s="14">
        <v>2004</v>
      </c>
      <c r="B16" s="15">
        <v>1066</v>
      </c>
      <c r="C16" s="15">
        <v>160</v>
      </c>
      <c r="D16" s="15">
        <v>61</v>
      </c>
      <c r="E16" s="15">
        <v>69</v>
      </c>
      <c r="F16" s="15">
        <v>52</v>
      </c>
      <c r="G16" s="15">
        <v>53</v>
      </c>
      <c r="H16" s="15">
        <v>50</v>
      </c>
      <c r="I16" s="15">
        <v>13</v>
      </c>
      <c r="J16" s="15">
        <v>110</v>
      </c>
      <c r="K16" s="15">
        <v>47</v>
      </c>
      <c r="L16" s="15">
        <v>88</v>
      </c>
      <c r="M16" s="15">
        <v>60</v>
      </c>
      <c r="N16" s="15">
        <v>87</v>
      </c>
      <c r="O16" s="15">
        <v>54</v>
      </c>
      <c r="P16" s="15">
        <v>65</v>
      </c>
      <c r="Q16" s="15">
        <v>66</v>
      </c>
      <c r="R16" s="15">
        <v>31</v>
      </c>
      <c r="S16" s="17">
        <v>2004</v>
      </c>
      <c r="T16" s="5"/>
      <c r="U16" s="5"/>
    </row>
    <row r="17" spans="1:21" s="30" customFormat="1" ht="11.25" customHeight="1" x14ac:dyDescent="0.3">
      <c r="A17" s="14">
        <v>2005</v>
      </c>
      <c r="B17" s="15">
        <v>1051</v>
      </c>
      <c r="C17" s="15">
        <v>157</v>
      </c>
      <c r="D17" s="15">
        <v>60</v>
      </c>
      <c r="E17" s="15">
        <v>65</v>
      </c>
      <c r="F17" s="15">
        <v>52</v>
      </c>
      <c r="G17" s="15">
        <v>53</v>
      </c>
      <c r="H17" s="15">
        <v>50</v>
      </c>
      <c r="I17" s="15">
        <v>13</v>
      </c>
      <c r="J17" s="15">
        <v>109</v>
      </c>
      <c r="K17" s="15">
        <v>47</v>
      </c>
      <c r="L17" s="15">
        <v>87</v>
      </c>
      <c r="M17" s="15">
        <v>60</v>
      </c>
      <c r="N17" s="15">
        <v>86</v>
      </c>
      <c r="O17" s="15">
        <v>53</v>
      </c>
      <c r="P17" s="15">
        <v>64</v>
      </c>
      <c r="Q17" s="15">
        <v>64</v>
      </c>
      <c r="R17" s="15">
        <v>31</v>
      </c>
      <c r="S17" s="17">
        <v>2005</v>
      </c>
      <c r="T17" s="5"/>
      <c r="U17" s="5"/>
    </row>
    <row r="18" spans="1:21" s="30" customFormat="1" ht="10.5" customHeight="1" x14ac:dyDescent="0.3">
      <c r="A18" s="14">
        <v>2006</v>
      </c>
      <c r="B18" s="15">
        <f>SUM(C18:R18)</f>
        <v>1027</v>
      </c>
      <c r="C18" s="15">
        <v>155</v>
      </c>
      <c r="D18" s="15">
        <v>56</v>
      </c>
      <c r="E18" s="15">
        <v>63</v>
      </c>
      <c r="F18" s="15">
        <v>52</v>
      </c>
      <c r="G18" s="15">
        <v>52</v>
      </c>
      <c r="H18" s="15">
        <v>49</v>
      </c>
      <c r="I18" s="15">
        <v>12</v>
      </c>
      <c r="J18" s="15">
        <v>108</v>
      </c>
      <c r="K18" s="15">
        <v>45</v>
      </c>
      <c r="L18" s="15">
        <v>86</v>
      </c>
      <c r="M18" s="15">
        <v>60</v>
      </c>
      <c r="N18" s="15">
        <v>84</v>
      </c>
      <c r="O18" s="15">
        <v>51</v>
      </c>
      <c r="P18" s="15">
        <v>61</v>
      </c>
      <c r="Q18" s="15">
        <v>62</v>
      </c>
      <c r="R18" s="15">
        <v>31</v>
      </c>
      <c r="S18" s="17">
        <v>2006</v>
      </c>
      <c r="T18" s="5"/>
      <c r="U18" s="5"/>
    </row>
    <row r="19" spans="1:21" s="30" customFormat="1" ht="10.5" customHeight="1" x14ac:dyDescent="0.3">
      <c r="A19" s="14">
        <v>2007</v>
      </c>
      <c r="B19" s="15">
        <f>SUM(C19:R19)</f>
        <v>1007</v>
      </c>
      <c r="C19" s="18">
        <v>151</v>
      </c>
      <c r="D19" s="18">
        <v>55</v>
      </c>
      <c r="E19" s="18">
        <v>61</v>
      </c>
      <c r="F19" s="18">
        <v>51</v>
      </c>
      <c r="G19" s="18">
        <v>48</v>
      </c>
      <c r="H19" s="18">
        <v>47</v>
      </c>
      <c r="I19" s="18">
        <v>12</v>
      </c>
      <c r="J19" s="18">
        <v>109</v>
      </c>
      <c r="K19" s="18">
        <v>44</v>
      </c>
      <c r="L19" s="18">
        <v>84</v>
      </c>
      <c r="M19" s="18">
        <v>60</v>
      </c>
      <c r="N19" s="18">
        <v>83</v>
      </c>
      <c r="O19" s="18">
        <v>50</v>
      </c>
      <c r="P19" s="18">
        <v>60</v>
      </c>
      <c r="Q19" s="18">
        <v>61</v>
      </c>
      <c r="R19" s="18">
        <v>31</v>
      </c>
      <c r="S19" s="17">
        <v>2007</v>
      </c>
      <c r="T19" s="5"/>
      <c r="U19" s="5"/>
    </row>
    <row r="20" spans="1:21" ht="15.75" customHeight="1" x14ac:dyDescent="0.3">
      <c r="A20" s="133" t="s">
        <v>131</v>
      </c>
      <c r="B20" s="133"/>
      <c r="C20" s="133"/>
      <c r="D20" s="133"/>
      <c r="E20" s="133"/>
      <c r="F20" s="133"/>
      <c r="G20" s="133"/>
      <c r="H20" s="133"/>
      <c r="I20" s="133"/>
      <c r="J20" s="133" t="s">
        <v>132</v>
      </c>
      <c r="K20" s="133"/>
      <c r="L20" s="133"/>
      <c r="M20" s="133"/>
      <c r="N20" s="133"/>
      <c r="O20" s="133"/>
      <c r="P20" s="133"/>
      <c r="Q20" s="133"/>
      <c r="R20" s="133"/>
      <c r="S20" s="133"/>
      <c r="T20" s="5"/>
      <c r="U20" s="5"/>
    </row>
    <row r="21" spans="1:21" ht="15.75" hidden="1" customHeight="1" x14ac:dyDescent="0.3">
      <c r="A21" s="14">
        <v>1994</v>
      </c>
      <c r="B21" s="15">
        <v>2746</v>
      </c>
      <c r="C21" s="15">
        <v>256</v>
      </c>
      <c r="D21" s="15">
        <v>127</v>
      </c>
      <c r="E21" s="15">
        <v>78</v>
      </c>
      <c r="F21" s="15">
        <v>48</v>
      </c>
      <c r="G21" s="15">
        <v>51</v>
      </c>
      <c r="H21" s="15">
        <v>60</v>
      </c>
      <c r="I21" s="15" t="s">
        <v>20</v>
      </c>
      <c r="J21" s="15">
        <v>342</v>
      </c>
      <c r="K21" s="15">
        <v>192</v>
      </c>
      <c r="L21" s="15">
        <v>147</v>
      </c>
      <c r="M21" s="15">
        <v>214</v>
      </c>
      <c r="N21" s="15">
        <v>226</v>
      </c>
      <c r="O21" s="15">
        <v>302</v>
      </c>
      <c r="P21" s="15">
        <v>323</v>
      </c>
      <c r="Q21" s="15">
        <v>335</v>
      </c>
      <c r="R21" s="15">
        <v>45</v>
      </c>
      <c r="S21" s="16">
        <v>1994</v>
      </c>
      <c r="T21" s="5"/>
      <c r="U21" s="5"/>
    </row>
    <row r="22" spans="1:21" ht="15.75" hidden="1" customHeight="1" x14ac:dyDescent="0.3">
      <c r="A22" s="14">
        <v>1995</v>
      </c>
      <c r="B22" s="15">
        <v>2786</v>
      </c>
      <c r="C22" s="15">
        <v>260</v>
      </c>
      <c r="D22" s="15">
        <v>136</v>
      </c>
      <c r="E22" s="15">
        <v>90</v>
      </c>
      <c r="F22" s="15">
        <v>73</v>
      </c>
      <c r="G22" s="15">
        <v>52</v>
      </c>
      <c r="H22" s="15">
        <v>64</v>
      </c>
      <c r="I22" s="15" t="s">
        <v>20</v>
      </c>
      <c r="J22" s="15">
        <v>330</v>
      </c>
      <c r="K22" s="15">
        <v>194</v>
      </c>
      <c r="L22" s="15">
        <v>148</v>
      </c>
      <c r="M22" s="15">
        <v>216</v>
      </c>
      <c r="N22" s="15">
        <v>228</v>
      </c>
      <c r="O22" s="15">
        <v>304</v>
      </c>
      <c r="P22" s="15">
        <v>316</v>
      </c>
      <c r="Q22" s="15">
        <v>330</v>
      </c>
      <c r="R22" s="15">
        <v>45</v>
      </c>
      <c r="S22" s="16">
        <v>1995</v>
      </c>
      <c r="T22" s="5"/>
      <c r="U22" s="5"/>
    </row>
    <row r="23" spans="1:21" ht="15.75" hidden="1" customHeight="1" x14ac:dyDescent="0.3">
      <c r="A23" s="14">
        <v>1996</v>
      </c>
      <c r="B23" s="15">
        <v>2832</v>
      </c>
      <c r="C23" s="15">
        <v>266</v>
      </c>
      <c r="D23" s="15">
        <v>139</v>
      </c>
      <c r="E23" s="15">
        <v>94</v>
      </c>
      <c r="F23" s="15">
        <v>76</v>
      </c>
      <c r="G23" s="15">
        <v>55</v>
      </c>
      <c r="H23" s="15">
        <v>68</v>
      </c>
      <c r="I23" s="15" t="s">
        <v>20</v>
      </c>
      <c r="J23" s="15">
        <v>341</v>
      </c>
      <c r="K23" s="15">
        <v>197</v>
      </c>
      <c r="L23" s="15">
        <v>148</v>
      </c>
      <c r="M23" s="15">
        <v>217</v>
      </c>
      <c r="N23" s="15">
        <v>232</v>
      </c>
      <c r="O23" s="15">
        <v>306</v>
      </c>
      <c r="P23" s="15">
        <v>316</v>
      </c>
      <c r="Q23" s="15">
        <v>332</v>
      </c>
      <c r="R23" s="15">
        <v>45</v>
      </c>
      <c r="S23" s="16">
        <v>1996</v>
      </c>
      <c r="T23" s="5"/>
      <c r="U23" s="5"/>
    </row>
    <row r="24" spans="1:21" ht="15.75" hidden="1" customHeight="1" x14ac:dyDescent="0.3">
      <c r="A24" s="14">
        <v>1997</v>
      </c>
      <c r="B24" s="15">
        <v>2873</v>
      </c>
      <c r="C24" s="15">
        <v>273</v>
      </c>
      <c r="D24" s="15">
        <v>144</v>
      </c>
      <c r="E24" s="15">
        <v>97</v>
      </c>
      <c r="F24" s="15">
        <v>78</v>
      </c>
      <c r="G24" s="15">
        <v>57</v>
      </c>
      <c r="H24" s="15">
        <v>67</v>
      </c>
      <c r="I24" s="15">
        <v>37</v>
      </c>
      <c r="J24" s="15">
        <v>342</v>
      </c>
      <c r="K24" s="15">
        <v>199</v>
      </c>
      <c r="L24" s="15">
        <v>151</v>
      </c>
      <c r="M24" s="15">
        <v>220</v>
      </c>
      <c r="N24" s="15">
        <v>237</v>
      </c>
      <c r="O24" s="15">
        <v>308</v>
      </c>
      <c r="P24" s="15">
        <v>320</v>
      </c>
      <c r="Q24" s="15">
        <v>297</v>
      </c>
      <c r="R24" s="15">
        <v>46</v>
      </c>
      <c r="S24" s="16">
        <v>1997</v>
      </c>
      <c r="T24" s="5"/>
      <c r="U24" s="5"/>
    </row>
    <row r="25" spans="1:21" ht="15.75" hidden="1" customHeight="1" x14ac:dyDescent="0.3">
      <c r="A25" s="14">
        <v>1998</v>
      </c>
      <c r="B25" s="15">
        <v>2807</v>
      </c>
      <c r="C25" s="15">
        <v>262</v>
      </c>
      <c r="D25" s="15">
        <v>141</v>
      </c>
      <c r="E25" s="15">
        <v>95</v>
      </c>
      <c r="F25" s="15">
        <v>77</v>
      </c>
      <c r="G25" s="15">
        <v>59</v>
      </c>
      <c r="H25" s="15">
        <v>66</v>
      </c>
      <c r="I25" s="15">
        <v>37</v>
      </c>
      <c r="J25" s="15">
        <v>336</v>
      </c>
      <c r="K25" s="15">
        <v>193</v>
      </c>
      <c r="L25" s="15">
        <v>149</v>
      </c>
      <c r="M25" s="15">
        <v>214</v>
      </c>
      <c r="N25" s="15">
        <v>232</v>
      </c>
      <c r="O25" s="15">
        <v>298</v>
      </c>
      <c r="P25" s="15">
        <v>314</v>
      </c>
      <c r="Q25" s="15">
        <v>293</v>
      </c>
      <c r="R25" s="15">
        <v>41</v>
      </c>
      <c r="S25" s="16">
        <v>1998</v>
      </c>
      <c r="T25" s="5"/>
      <c r="U25" s="5"/>
    </row>
    <row r="26" spans="1:21" ht="10.5" hidden="1" customHeight="1" x14ac:dyDescent="0.3">
      <c r="A26" s="14">
        <v>1999</v>
      </c>
      <c r="B26" s="15">
        <v>2808</v>
      </c>
      <c r="C26" s="15">
        <v>262</v>
      </c>
      <c r="D26" s="15">
        <v>141</v>
      </c>
      <c r="E26" s="15">
        <v>97</v>
      </c>
      <c r="F26" s="15">
        <v>77</v>
      </c>
      <c r="G26" s="15">
        <v>61</v>
      </c>
      <c r="H26" s="15">
        <v>66</v>
      </c>
      <c r="I26" s="15">
        <v>37</v>
      </c>
      <c r="J26" s="15">
        <v>337</v>
      </c>
      <c r="K26" s="15">
        <v>194</v>
      </c>
      <c r="L26" s="15">
        <v>152</v>
      </c>
      <c r="M26" s="15">
        <v>213</v>
      </c>
      <c r="N26" s="15">
        <v>228</v>
      </c>
      <c r="O26" s="15">
        <v>296</v>
      </c>
      <c r="P26" s="15">
        <v>311</v>
      </c>
      <c r="Q26" s="15">
        <v>294</v>
      </c>
      <c r="R26" s="15">
        <v>42</v>
      </c>
      <c r="S26" s="16">
        <v>1999</v>
      </c>
      <c r="T26" s="5"/>
      <c r="U26" s="5"/>
    </row>
    <row r="27" spans="1:21" ht="10.5" customHeight="1" x14ac:dyDescent="0.3">
      <c r="A27" s="14">
        <v>2000</v>
      </c>
      <c r="B27" s="15">
        <v>2812</v>
      </c>
      <c r="C27" s="15">
        <v>258</v>
      </c>
      <c r="D27" s="15">
        <v>143</v>
      </c>
      <c r="E27" s="15">
        <v>99</v>
      </c>
      <c r="F27" s="15">
        <v>76</v>
      </c>
      <c r="G27" s="15">
        <v>62</v>
      </c>
      <c r="H27" s="15">
        <v>67</v>
      </c>
      <c r="I27" s="15">
        <v>37</v>
      </c>
      <c r="J27" s="15">
        <v>341</v>
      </c>
      <c r="K27" s="15">
        <v>194</v>
      </c>
      <c r="L27" s="15">
        <v>150</v>
      </c>
      <c r="M27" s="15">
        <v>211</v>
      </c>
      <c r="N27" s="15">
        <v>230</v>
      </c>
      <c r="O27" s="15">
        <v>296</v>
      </c>
      <c r="P27" s="15">
        <v>312</v>
      </c>
      <c r="Q27" s="15">
        <v>294</v>
      </c>
      <c r="R27" s="15">
        <v>42</v>
      </c>
      <c r="S27" s="16">
        <v>2000</v>
      </c>
      <c r="T27" s="5"/>
      <c r="U27" s="5"/>
    </row>
    <row r="28" spans="1:21" ht="10.5" customHeight="1" x14ac:dyDescent="0.3">
      <c r="A28" s="14">
        <v>2001</v>
      </c>
      <c r="B28" s="15">
        <v>2785</v>
      </c>
      <c r="C28" s="15">
        <v>257</v>
      </c>
      <c r="D28" s="15">
        <v>143</v>
      </c>
      <c r="E28" s="15">
        <v>98</v>
      </c>
      <c r="F28" s="15">
        <v>75</v>
      </c>
      <c r="G28" s="15">
        <v>61</v>
      </c>
      <c r="H28" s="15">
        <v>68</v>
      </c>
      <c r="I28" s="15">
        <v>38</v>
      </c>
      <c r="J28" s="15">
        <v>341</v>
      </c>
      <c r="K28" s="15">
        <v>187</v>
      </c>
      <c r="L28" s="15">
        <v>148</v>
      </c>
      <c r="M28" s="15">
        <v>211</v>
      </c>
      <c r="N28" s="15">
        <v>225</v>
      </c>
      <c r="O28" s="15">
        <v>291</v>
      </c>
      <c r="P28" s="15">
        <v>310</v>
      </c>
      <c r="Q28" s="15">
        <v>293</v>
      </c>
      <c r="R28" s="15">
        <v>39</v>
      </c>
      <c r="S28" s="16">
        <v>2001</v>
      </c>
      <c r="T28" s="5"/>
      <c r="U28" s="5"/>
    </row>
    <row r="29" spans="1:21" ht="10.5" customHeight="1" x14ac:dyDescent="0.3">
      <c r="A29" s="14">
        <v>2002</v>
      </c>
      <c r="B29" s="15">
        <v>2809</v>
      </c>
      <c r="C29" s="15">
        <v>256</v>
      </c>
      <c r="D29" s="15">
        <v>144</v>
      </c>
      <c r="E29" s="15">
        <v>98</v>
      </c>
      <c r="F29" s="15">
        <v>76</v>
      </c>
      <c r="G29" s="15">
        <v>63</v>
      </c>
      <c r="H29" s="15">
        <v>71</v>
      </c>
      <c r="I29" s="15">
        <v>38</v>
      </c>
      <c r="J29" s="15">
        <v>343</v>
      </c>
      <c r="K29" s="15">
        <v>188</v>
      </c>
      <c r="L29" s="15">
        <v>151</v>
      </c>
      <c r="M29" s="15">
        <v>212</v>
      </c>
      <c r="N29" s="15">
        <v>230</v>
      </c>
      <c r="O29" s="15">
        <v>292</v>
      </c>
      <c r="P29" s="15">
        <v>312</v>
      </c>
      <c r="Q29" s="15">
        <v>296</v>
      </c>
      <c r="R29" s="15">
        <v>39</v>
      </c>
      <c r="S29" s="16">
        <v>2002</v>
      </c>
      <c r="T29" s="5"/>
      <c r="U29" s="5"/>
    </row>
    <row r="30" spans="1:21" ht="6" customHeight="1" x14ac:dyDescent="0.3">
      <c r="A30" s="14" t="s">
        <v>1</v>
      </c>
      <c r="B30" s="15" t="s">
        <v>2</v>
      </c>
      <c r="C30" s="15" t="s">
        <v>3</v>
      </c>
      <c r="D30" s="15" t="s">
        <v>3</v>
      </c>
      <c r="E30" s="15" t="s">
        <v>3</v>
      </c>
      <c r="F30" s="15" t="s">
        <v>3</v>
      </c>
      <c r="G30" s="15" t="s">
        <v>0</v>
      </c>
      <c r="H30" s="15" t="s">
        <v>0</v>
      </c>
      <c r="I30" s="15" t="s">
        <v>0</v>
      </c>
      <c r="J30" s="15" t="s">
        <v>0</v>
      </c>
      <c r="K30" s="15" t="s">
        <v>0</v>
      </c>
      <c r="L30" s="15" t="s">
        <v>0</v>
      </c>
      <c r="M30" s="15" t="s">
        <v>0</v>
      </c>
      <c r="N30" s="15" t="s">
        <v>0</v>
      </c>
      <c r="O30" s="15" t="s">
        <v>0</v>
      </c>
      <c r="P30" s="15" t="s">
        <v>0</v>
      </c>
      <c r="Q30" s="15" t="s">
        <v>0</v>
      </c>
      <c r="R30" s="15" t="s">
        <v>0</v>
      </c>
      <c r="S30" s="16"/>
      <c r="T30" s="5"/>
      <c r="U30" s="5"/>
    </row>
    <row r="31" spans="1:21" ht="10.5" customHeight="1" x14ac:dyDescent="0.3">
      <c r="A31" s="17">
        <v>2003</v>
      </c>
      <c r="B31" s="15">
        <v>2806</v>
      </c>
      <c r="C31" s="15">
        <v>257</v>
      </c>
      <c r="D31" s="15">
        <v>146</v>
      </c>
      <c r="E31" s="15">
        <v>99</v>
      </c>
      <c r="F31" s="15">
        <v>76</v>
      </c>
      <c r="G31" s="15">
        <v>64</v>
      </c>
      <c r="H31" s="15">
        <v>70</v>
      </c>
      <c r="I31" s="15">
        <v>39</v>
      </c>
      <c r="J31" s="15">
        <v>342</v>
      </c>
      <c r="K31" s="15">
        <v>189</v>
      </c>
      <c r="L31" s="15">
        <v>150</v>
      </c>
      <c r="M31" s="15">
        <v>211</v>
      </c>
      <c r="N31" s="15">
        <v>226</v>
      </c>
      <c r="O31" s="15">
        <v>292</v>
      </c>
      <c r="P31" s="15">
        <v>310</v>
      </c>
      <c r="Q31" s="15">
        <v>295</v>
      </c>
      <c r="R31" s="15">
        <v>40</v>
      </c>
      <c r="S31" s="17">
        <v>2003</v>
      </c>
      <c r="T31" s="5"/>
      <c r="U31" s="5"/>
    </row>
    <row r="32" spans="1:21" s="30" customFormat="1" ht="10.5" customHeight="1" x14ac:dyDescent="0.3">
      <c r="A32" s="14">
        <v>2004</v>
      </c>
      <c r="B32" s="15">
        <v>2995</v>
      </c>
      <c r="C32" s="15">
        <v>262</v>
      </c>
      <c r="D32" s="15">
        <v>153</v>
      </c>
      <c r="E32" s="15">
        <v>100</v>
      </c>
      <c r="F32" s="15">
        <v>78</v>
      </c>
      <c r="G32" s="15">
        <v>64</v>
      </c>
      <c r="H32" s="15">
        <v>70</v>
      </c>
      <c r="I32" s="15">
        <v>40</v>
      </c>
      <c r="J32" s="15">
        <v>352</v>
      </c>
      <c r="K32" s="15">
        <v>193</v>
      </c>
      <c r="L32" s="15">
        <v>152</v>
      </c>
      <c r="M32" s="15">
        <v>217</v>
      </c>
      <c r="N32" s="15">
        <v>359</v>
      </c>
      <c r="O32" s="15">
        <v>298</v>
      </c>
      <c r="P32" s="15">
        <v>315</v>
      </c>
      <c r="Q32" s="15">
        <v>298</v>
      </c>
      <c r="R32" s="15">
        <v>44</v>
      </c>
      <c r="S32" s="17">
        <v>2004</v>
      </c>
      <c r="T32" s="5"/>
      <c r="U32" s="5"/>
    </row>
    <row r="33" spans="1:21" s="30" customFormat="1" ht="10.5" customHeight="1" x14ac:dyDescent="0.3">
      <c r="A33" s="14">
        <v>2005</v>
      </c>
      <c r="B33" s="15">
        <v>2759</v>
      </c>
      <c r="C33" s="15">
        <v>255</v>
      </c>
      <c r="D33" s="15">
        <v>144</v>
      </c>
      <c r="E33" s="15">
        <v>96</v>
      </c>
      <c r="F33" s="15">
        <v>73</v>
      </c>
      <c r="G33" s="15">
        <v>63</v>
      </c>
      <c r="H33" s="15">
        <v>68</v>
      </c>
      <c r="I33" s="15">
        <v>40</v>
      </c>
      <c r="J33" s="15">
        <v>326</v>
      </c>
      <c r="K33" s="15">
        <v>176</v>
      </c>
      <c r="L33" s="15">
        <v>148</v>
      </c>
      <c r="M33" s="15">
        <v>213</v>
      </c>
      <c r="N33" s="15">
        <v>228</v>
      </c>
      <c r="O33" s="15">
        <v>290</v>
      </c>
      <c r="P33" s="15">
        <v>309</v>
      </c>
      <c r="Q33" s="15">
        <v>291</v>
      </c>
      <c r="R33" s="15">
        <v>38</v>
      </c>
      <c r="S33" s="17">
        <v>2005</v>
      </c>
      <c r="T33" s="5"/>
      <c r="U33" s="5"/>
    </row>
    <row r="34" spans="1:21" s="30" customFormat="1" ht="10.5" customHeight="1" x14ac:dyDescent="0.3">
      <c r="A34" s="14">
        <v>2006</v>
      </c>
      <c r="B34" s="15">
        <f>SUM(C34:R34)</f>
        <v>2710</v>
      </c>
      <c r="C34" s="15">
        <v>249</v>
      </c>
      <c r="D34" s="15">
        <v>142</v>
      </c>
      <c r="E34" s="15">
        <v>94</v>
      </c>
      <c r="F34" s="15">
        <v>74</v>
      </c>
      <c r="G34" s="15">
        <v>62</v>
      </c>
      <c r="H34" s="15">
        <v>66</v>
      </c>
      <c r="I34" s="15">
        <v>40</v>
      </c>
      <c r="J34" s="15">
        <v>318</v>
      </c>
      <c r="K34" s="15">
        <v>173</v>
      </c>
      <c r="L34" s="15">
        <v>146</v>
      </c>
      <c r="M34" s="15">
        <v>210</v>
      </c>
      <c r="N34" s="15">
        <v>221</v>
      </c>
      <c r="O34" s="15">
        <v>287</v>
      </c>
      <c r="P34" s="15">
        <v>305</v>
      </c>
      <c r="Q34" s="15">
        <v>287</v>
      </c>
      <c r="R34" s="15">
        <v>36</v>
      </c>
      <c r="S34" s="17">
        <v>2006</v>
      </c>
      <c r="T34" s="5"/>
      <c r="U34" s="5"/>
    </row>
    <row r="35" spans="1:21" s="30" customFormat="1" ht="10.5" customHeight="1" x14ac:dyDescent="0.3">
      <c r="A35" s="14">
        <v>2007</v>
      </c>
      <c r="B35" s="15">
        <f>SUM(C35:R35)</f>
        <v>2717</v>
      </c>
      <c r="C35" s="18">
        <v>248</v>
      </c>
      <c r="D35" s="18">
        <v>141</v>
      </c>
      <c r="E35" s="18">
        <v>94</v>
      </c>
      <c r="F35" s="18">
        <v>77</v>
      </c>
      <c r="G35" s="18">
        <v>63</v>
      </c>
      <c r="H35" s="18">
        <v>66</v>
      </c>
      <c r="I35" s="18">
        <v>40</v>
      </c>
      <c r="J35" s="18">
        <v>320</v>
      </c>
      <c r="K35" s="18">
        <v>174</v>
      </c>
      <c r="L35" s="18">
        <v>147</v>
      </c>
      <c r="M35" s="18">
        <v>211</v>
      </c>
      <c r="N35" s="18">
        <v>221</v>
      </c>
      <c r="O35" s="18">
        <v>286</v>
      </c>
      <c r="P35" s="18">
        <v>305</v>
      </c>
      <c r="Q35" s="18">
        <v>288</v>
      </c>
      <c r="R35" s="18">
        <v>36</v>
      </c>
      <c r="S35" s="17">
        <v>2007</v>
      </c>
      <c r="T35" s="5"/>
      <c r="U35" s="5"/>
    </row>
    <row r="36" spans="1:21" ht="16.5" customHeight="1" x14ac:dyDescent="0.3">
      <c r="A36" s="133" t="s">
        <v>133</v>
      </c>
      <c r="B36" s="133"/>
      <c r="C36" s="133"/>
      <c r="D36" s="133"/>
      <c r="E36" s="133"/>
      <c r="F36" s="133"/>
      <c r="G36" s="133"/>
      <c r="H36" s="133"/>
      <c r="I36" s="133"/>
      <c r="J36" s="133" t="s">
        <v>133</v>
      </c>
      <c r="K36" s="133"/>
      <c r="L36" s="133"/>
      <c r="M36" s="133"/>
      <c r="N36" s="133"/>
      <c r="O36" s="133"/>
      <c r="P36" s="133"/>
      <c r="Q36" s="133"/>
      <c r="R36" s="133"/>
      <c r="S36" s="133"/>
      <c r="T36" s="5"/>
      <c r="U36" s="5"/>
    </row>
    <row r="37" spans="1:21" ht="10.5" hidden="1" customHeight="1" x14ac:dyDescent="0.3">
      <c r="A37" s="14">
        <v>1994</v>
      </c>
      <c r="B37" s="15">
        <v>1704</v>
      </c>
      <c r="C37" s="15">
        <v>22</v>
      </c>
      <c r="D37" s="15">
        <v>20</v>
      </c>
      <c r="E37" s="15">
        <v>17</v>
      </c>
      <c r="F37" s="15">
        <v>11</v>
      </c>
      <c r="G37" s="15">
        <v>17</v>
      </c>
      <c r="H37" s="15">
        <v>15</v>
      </c>
      <c r="I37" s="15" t="s">
        <v>20</v>
      </c>
      <c r="J37" s="15">
        <v>186</v>
      </c>
      <c r="K37" s="15">
        <v>125</v>
      </c>
      <c r="L37" s="15">
        <v>107</v>
      </c>
      <c r="M37" s="15">
        <v>196</v>
      </c>
      <c r="N37" s="15">
        <v>176</v>
      </c>
      <c r="O37" s="15">
        <v>270</v>
      </c>
      <c r="P37" s="15">
        <v>261</v>
      </c>
      <c r="Q37" s="15">
        <v>250</v>
      </c>
      <c r="R37" s="15">
        <v>31</v>
      </c>
      <c r="S37" s="16">
        <v>1994</v>
      </c>
      <c r="T37" s="5"/>
      <c r="U37" s="5"/>
    </row>
    <row r="38" spans="1:21" ht="10.5" hidden="1" customHeight="1" x14ac:dyDescent="0.3">
      <c r="A38" s="14">
        <v>1995</v>
      </c>
      <c r="B38" s="15">
        <v>1730</v>
      </c>
      <c r="C38" s="15">
        <v>23</v>
      </c>
      <c r="D38" s="15">
        <v>25</v>
      </c>
      <c r="E38" s="15">
        <v>25</v>
      </c>
      <c r="F38" s="15">
        <v>24</v>
      </c>
      <c r="G38" s="15">
        <v>18</v>
      </c>
      <c r="H38" s="15">
        <v>15</v>
      </c>
      <c r="I38" s="15" t="s">
        <v>20</v>
      </c>
      <c r="J38" s="15">
        <v>175</v>
      </c>
      <c r="K38" s="15">
        <v>126</v>
      </c>
      <c r="L38" s="15">
        <v>108</v>
      </c>
      <c r="M38" s="15">
        <v>201</v>
      </c>
      <c r="N38" s="15">
        <v>176</v>
      </c>
      <c r="O38" s="15">
        <v>272</v>
      </c>
      <c r="P38" s="15">
        <v>256</v>
      </c>
      <c r="Q38" s="15">
        <v>253</v>
      </c>
      <c r="R38" s="15">
        <v>33</v>
      </c>
      <c r="S38" s="16">
        <v>1995</v>
      </c>
      <c r="T38" s="5"/>
      <c r="U38" s="5"/>
    </row>
    <row r="39" spans="1:21" ht="10.5" hidden="1" customHeight="1" x14ac:dyDescent="0.3">
      <c r="A39" s="14">
        <v>1996</v>
      </c>
      <c r="B39" s="15">
        <v>1756</v>
      </c>
      <c r="C39" s="15">
        <v>23</v>
      </c>
      <c r="D39" s="15">
        <v>25</v>
      </c>
      <c r="E39" s="15">
        <v>26</v>
      </c>
      <c r="F39" s="15">
        <v>25</v>
      </c>
      <c r="G39" s="15">
        <v>18</v>
      </c>
      <c r="H39" s="15">
        <v>15</v>
      </c>
      <c r="I39" s="15" t="s">
        <v>20</v>
      </c>
      <c r="J39" s="15">
        <v>177</v>
      </c>
      <c r="K39" s="15">
        <v>129</v>
      </c>
      <c r="L39" s="15">
        <v>111</v>
      </c>
      <c r="M39" s="15">
        <v>201</v>
      </c>
      <c r="N39" s="15">
        <v>178</v>
      </c>
      <c r="O39" s="15">
        <v>277</v>
      </c>
      <c r="P39" s="15">
        <v>261</v>
      </c>
      <c r="Q39" s="15">
        <v>257</v>
      </c>
      <c r="R39" s="15">
        <v>33</v>
      </c>
      <c r="S39" s="16">
        <v>1996</v>
      </c>
      <c r="T39" s="5"/>
      <c r="U39" s="5"/>
    </row>
    <row r="40" spans="1:21" ht="10.5" hidden="1" customHeight="1" x14ac:dyDescent="0.3">
      <c r="A40" s="14">
        <v>1997</v>
      </c>
      <c r="B40" s="15">
        <v>1733</v>
      </c>
      <c r="C40" s="15">
        <v>24</v>
      </c>
      <c r="D40" s="15">
        <v>27</v>
      </c>
      <c r="E40" s="15">
        <v>28</v>
      </c>
      <c r="F40" s="15">
        <v>25</v>
      </c>
      <c r="G40" s="15">
        <v>20</v>
      </c>
      <c r="H40" s="15">
        <v>15</v>
      </c>
      <c r="I40" s="15">
        <v>20</v>
      </c>
      <c r="J40" s="15">
        <v>177</v>
      </c>
      <c r="K40" s="15">
        <v>128</v>
      </c>
      <c r="L40" s="15">
        <v>108</v>
      </c>
      <c r="M40" s="15">
        <v>204</v>
      </c>
      <c r="N40" s="15">
        <v>175</v>
      </c>
      <c r="O40" s="15">
        <v>260</v>
      </c>
      <c r="P40" s="15">
        <v>261</v>
      </c>
      <c r="Q40" s="15">
        <v>228</v>
      </c>
      <c r="R40" s="15">
        <v>33</v>
      </c>
      <c r="S40" s="16">
        <v>1997</v>
      </c>
      <c r="T40" s="5"/>
      <c r="U40" s="5"/>
    </row>
    <row r="41" spans="1:21" ht="10.5" hidden="1" customHeight="1" x14ac:dyDescent="0.3">
      <c r="A41" s="14">
        <v>1998</v>
      </c>
      <c r="B41" s="15">
        <v>1662</v>
      </c>
      <c r="C41" s="15">
        <v>24</v>
      </c>
      <c r="D41" s="15">
        <v>27</v>
      </c>
      <c r="E41" s="15">
        <v>28</v>
      </c>
      <c r="F41" s="15">
        <v>26</v>
      </c>
      <c r="G41" s="15">
        <v>20</v>
      </c>
      <c r="H41" s="15">
        <v>15</v>
      </c>
      <c r="I41" s="15">
        <v>20</v>
      </c>
      <c r="J41" s="15">
        <v>175</v>
      </c>
      <c r="K41" s="15">
        <v>126</v>
      </c>
      <c r="L41" s="15">
        <v>99</v>
      </c>
      <c r="M41" s="15">
        <v>192</v>
      </c>
      <c r="N41" s="15">
        <v>166</v>
      </c>
      <c r="O41" s="15">
        <v>247</v>
      </c>
      <c r="P41" s="15">
        <v>250</v>
      </c>
      <c r="Q41" s="15">
        <v>214</v>
      </c>
      <c r="R41" s="15">
        <v>33</v>
      </c>
      <c r="S41" s="16">
        <v>1998</v>
      </c>
      <c r="T41" s="5"/>
      <c r="U41" s="5"/>
    </row>
    <row r="42" spans="1:21" ht="10.5" hidden="1" customHeight="1" x14ac:dyDescent="0.3">
      <c r="A42" s="14">
        <v>1999</v>
      </c>
      <c r="B42" s="15">
        <v>1599</v>
      </c>
      <c r="C42" s="15">
        <v>24</v>
      </c>
      <c r="D42" s="15">
        <v>23</v>
      </c>
      <c r="E42" s="15">
        <v>28</v>
      </c>
      <c r="F42" s="15">
        <v>26</v>
      </c>
      <c r="G42" s="15">
        <v>19</v>
      </c>
      <c r="H42" s="15">
        <v>16</v>
      </c>
      <c r="I42" s="15">
        <v>20</v>
      </c>
      <c r="J42" s="15">
        <v>174</v>
      </c>
      <c r="K42" s="15">
        <v>121</v>
      </c>
      <c r="L42" s="15">
        <v>97</v>
      </c>
      <c r="M42" s="15">
        <v>188</v>
      </c>
      <c r="N42" s="15">
        <v>148</v>
      </c>
      <c r="O42" s="15">
        <v>241</v>
      </c>
      <c r="P42" s="15">
        <v>237</v>
      </c>
      <c r="Q42" s="15">
        <v>203</v>
      </c>
      <c r="R42" s="15">
        <v>34</v>
      </c>
      <c r="S42" s="16">
        <v>1999</v>
      </c>
      <c r="T42" s="5"/>
      <c r="U42" s="5"/>
    </row>
    <row r="43" spans="1:21" ht="10.5" customHeight="1" x14ac:dyDescent="0.3">
      <c r="A43" s="14">
        <v>2000</v>
      </c>
      <c r="B43" s="15">
        <v>1624</v>
      </c>
      <c r="C43" s="15">
        <v>24</v>
      </c>
      <c r="D43" s="15">
        <v>22</v>
      </c>
      <c r="E43" s="15">
        <v>23</v>
      </c>
      <c r="F43" s="15">
        <v>27</v>
      </c>
      <c r="G43" s="15">
        <v>18</v>
      </c>
      <c r="H43" s="15">
        <v>15</v>
      </c>
      <c r="I43" s="15">
        <v>20</v>
      </c>
      <c r="J43" s="15">
        <v>180</v>
      </c>
      <c r="K43" s="15">
        <v>122</v>
      </c>
      <c r="L43" s="15">
        <v>99</v>
      </c>
      <c r="M43" s="15">
        <v>196</v>
      </c>
      <c r="N43" s="15">
        <v>147</v>
      </c>
      <c r="O43" s="15">
        <v>245</v>
      </c>
      <c r="P43" s="15">
        <v>247</v>
      </c>
      <c r="Q43" s="15">
        <v>205</v>
      </c>
      <c r="R43" s="15">
        <v>34</v>
      </c>
      <c r="S43" s="16">
        <v>2000</v>
      </c>
      <c r="T43" s="5"/>
      <c r="U43" s="5"/>
    </row>
    <row r="44" spans="1:21" ht="10.5" customHeight="1" x14ac:dyDescent="0.3">
      <c r="A44" s="14">
        <v>2001</v>
      </c>
      <c r="B44" s="15">
        <f>1383+103+132</f>
        <v>1618</v>
      </c>
      <c r="C44" s="15">
        <f>20+3+1</f>
        <v>24</v>
      </c>
      <c r="D44" s="15">
        <f>14+7+1</f>
        <v>22</v>
      </c>
      <c r="E44" s="15">
        <f>22+0+1</f>
        <v>23</v>
      </c>
      <c r="F44" s="15">
        <f>22+4+1</f>
        <v>27</v>
      </c>
      <c r="G44" s="15">
        <f>16+1+1</f>
        <v>18</v>
      </c>
      <c r="H44" s="15">
        <f>14+0+1</f>
        <v>15</v>
      </c>
      <c r="I44" s="15">
        <f>17+2+1</f>
        <v>20</v>
      </c>
      <c r="J44" s="15">
        <f>165+1+14</f>
        <v>180</v>
      </c>
      <c r="K44" s="15">
        <f>100+9+13</f>
        <v>122</v>
      </c>
      <c r="L44" s="15">
        <f>89+0+10</f>
        <v>99</v>
      </c>
      <c r="M44" s="15">
        <f>169+10+12</f>
        <v>191</v>
      </c>
      <c r="N44" s="15">
        <f>129+4+13</f>
        <v>146</v>
      </c>
      <c r="O44" s="15">
        <f>202+22+21</f>
        <v>245</v>
      </c>
      <c r="P44" s="15">
        <f>210+14+22</f>
        <v>246</v>
      </c>
      <c r="Q44" s="15">
        <f>169+19+18</f>
        <v>206</v>
      </c>
      <c r="R44" s="15">
        <f>25+7+2</f>
        <v>34</v>
      </c>
      <c r="S44" s="16">
        <v>2001</v>
      </c>
      <c r="T44" s="5"/>
      <c r="U44" s="5"/>
    </row>
    <row r="45" spans="1:21" ht="10.5" customHeight="1" x14ac:dyDescent="0.3">
      <c r="A45" s="14">
        <v>2002</v>
      </c>
      <c r="B45" s="15">
        <v>1593</v>
      </c>
      <c r="C45" s="15">
        <v>23</v>
      </c>
      <c r="D45" s="15">
        <v>22</v>
      </c>
      <c r="E45" s="15">
        <v>23</v>
      </c>
      <c r="F45" s="15">
        <v>27</v>
      </c>
      <c r="G45" s="15">
        <v>18</v>
      </c>
      <c r="H45" s="15">
        <v>15</v>
      </c>
      <c r="I45" s="15">
        <v>19</v>
      </c>
      <c r="J45" s="15">
        <v>180</v>
      </c>
      <c r="K45" s="15">
        <v>120</v>
      </c>
      <c r="L45" s="15">
        <v>98</v>
      </c>
      <c r="M45" s="15">
        <v>188</v>
      </c>
      <c r="N45" s="15">
        <v>145</v>
      </c>
      <c r="O45" s="15">
        <v>242</v>
      </c>
      <c r="P45" s="15">
        <v>234</v>
      </c>
      <c r="Q45" s="15">
        <v>205</v>
      </c>
      <c r="R45" s="15">
        <v>34</v>
      </c>
      <c r="S45" s="16">
        <v>2002</v>
      </c>
      <c r="T45" s="5"/>
      <c r="U45" s="5"/>
    </row>
    <row r="46" spans="1:21" ht="6" customHeight="1" x14ac:dyDescent="0.3">
      <c r="A46" s="14" t="s">
        <v>1</v>
      </c>
      <c r="B46" s="15" t="s">
        <v>2</v>
      </c>
      <c r="C46" s="15" t="s">
        <v>3</v>
      </c>
      <c r="D46" s="15" t="s">
        <v>3</v>
      </c>
      <c r="E46" s="15" t="s">
        <v>3</v>
      </c>
      <c r="F46" s="15" t="s">
        <v>3</v>
      </c>
      <c r="G46" s="15" t="s">
        <v>0</v>
      </c>
      <c r="H46" s="15" t="s">
        <v>0</v>
      </c>
      <c r="I46" s="15" t="s">
        <v>0</v>
      </c>
      <c r="J46" s="15" t="s">
        <v>0</v>
      </c>
      <c r="K46" s="15" t="s">
        <v>0</v>
      </c>
      <c r="L46" s="15" t="s">
        <v>0</v>
      </c>
      <c r="M46" s="15" t="s">
        <v>0</v>
      </c>
      <c r="N46" s="15" t="s">
        <v>0</v>
      </c>
      <c r="O46" s="15" t="s">
        <v>0</v>
      </c>
      <c r="P46" s="15" t="s">
        <v>0</v>
      </c>
      <c r="Q46" s="15" t="s">
        <v>0</v>
      </c>
      <c r="R46" s="15" t="s">
        <v>0</v>
      </c>
      <c r="S46" s="16"/>
      <c r="T46" s="5"/>
      <c r="U46" s="5"/>
    </row>
    <row r="47" spans="1:21" ht="10.5" customHeight="1" x14ac:dyDescent="0.3">
      <c r="A47" s="14">
        <v>2003</v>
      </c>
      <c r="B47" s="15">
        <v>1555</v>
      </c>
      <c r="C47" s="15">
        <v>23</v>
      </c>
      <c r="D47" s="15">
        <v>22</v>
      </c>
      <c r="E47" s="15">
        <v>24</v>
      </c>
      <c r="F47" s="15">
        <v>27</v>
      </c>
      <c r="G47" s="15">
        <v>17</v>
      </c>
      <c r="H47" s="15">
        <v>15</v>
      </c>
      <c r="I47" s="15">
        <v>19</v>
      </c>
      <c r="J47" s="15">
        <v>178</v>
      </c>
      <c r="K47" s="15">
        <v>114</v>
      </c>
      <c r="L47" s="15">
        <v>95</v>
      </c>
      <c r="M47" s="15">
        <v>185</v>
      </c>
      <c r="N47" s="15">
        <v>136</v>
      </c>
      <c r="O47" s="15">
        <v>238</v>
      </c>
      <c r="P47" s="15">
        <v>229</v>
      </c>
      <c r="Q47" s="15">
        <v>200</v>
      </c>
      <c r="R47" s="15">
        <v>33</v>
      </c>
      <c r="S47" s="17">
        <v>2003</v>
      </c>
      <c r="T47" s="5"/>
      <c r="U47" s="5"/>
    </row>
    <row r="48" spans="1:21" s="30" customFormat="1" ht="10.5" customHeight="1" x14ac:dyDescent="0.3">
      <c r="A48" s="17">
        <v>2004</v>
      </c>
      <c r="B48" s="15">
        <v>1551</v>
      </c>
      <c r="C48" s="15">
        <v>23</v>
      </c>
      <c r="D48" s="15">
        <v>22</v>
      </c>
      <c r="E48" s="15">
        <v>22</v>
      </c>
      <c r="F48" s="15">
        <v>27</v>
      </c>
      <c r="G48" s="15">
        <v>16</v>
      </c>
      <c r="H48" s="15">
        <v>15</v>
      </c>
      <c r="I48" s="15">
        <v>19</v>
      </c>
      <c r="J48" s="15">
        <v>179</v>
      </c>
      <c r="K48" s="15">
        <v>112</v>
      </c>
      <c r="L48" s="15">
        <v>94</v>
      </c>
      <c r="M48" s="15">
        <v>187</v>
      </c>
      <c r="N48" s="15">
        <v>135</v>
      </c>
      <c r="O48" s="15">
        <v>238</v>
      </c>
      <c r="P48" s="15">
        <v>228</v>
      </c>
      <c r="Q48" s="15">
        <v>201</v>
      </c>
      <c r="R48" s="15">
        <v>33</v>
      </c>
      <c r="S48" s="17">
        <v>2004</v>
      </c>
      <c r="T48" s="5"/>
      <c r="U48" s="5"/>
    </row>
    <row r="49" spans="1:21" s="30" customFormat="1" ht="10.5" customHeight="1" x14ac:dyDescent="0.3">
      <c r="A49" s="17">
        <v>2005</v>
      </c>
      <c r="B49" s="15">
        <v>1522</v>
      </c>
      <c r="C49" s="15">
        <v>23</v>
      </c>
      <c r="D49" s="15">
        <v>24</v>
      </c>
      <c r="E49" s="15">
        <v>26</v>
      </c>
      <c r="F49" s="15">
        <v>27</v>
      </c>
      <c r="G49" s="15">
        <v>18</v>
      </c>
      <c r="H49" s="15">
        <v>16</v>
      </c>
      <c r="I49" s="15">
        <v>19</v>
      </c>
      <c r="J49" s="15">
        <v>179</v>
      </c>
      <c r="K49" s="15">
        <v>110</v>
      </c>
      <c r="L49" s="15">
        <v>91</v>
      </c>
      <c r="M49" s="15">
        <v>184</v>
      </c>
      <c r="N49" s="15">
        <v>132</v>
      </c>
      <c r="O49" s="15">
        <v>223</v>
      </c>
      <c r="P49" s="15">
        <v>222</v>
      </c>
      <c r="Q49" s="15">
        <v>195</v>
      </c>
      <c r="R49" s="15">
        <v>33</v>
      </c>
      <c r="S49" s="17">
        <v>2005</v>
      </c>
      <c r="T49" s="5"/>
      <c r="U49" s="5"/>
    </row>
    <row r="50" spans="1:21" s="30" customFormat="1" ht="10.5" customHeight="1" x14ac:dyDescent="0.3">
      <c r="A50" s="17">
        <v>2006</v>
      </c>
      <c r="B50" s="15">
        <f>SUM(C50:R50)</f>
        <v>1442</v>
      </c>
      <c r="C50" s="15">
        <v>23</v>
      </c>
      <c r="D50" s="15">
        <v>24</v>
      </c>
      <c r="E50" s="15">
        <v>25</v>
      </c>
      <c r="F50" s="15">
        <v>28</v>
      </c>
      <c r="G50" s="15">
        <v>18</v>
      </c>
      <c r="H50" s="15">
        <v>16</v>
      </c>
      <c r="I50" s="15">
        <v>19</v>
      </c>
      <c r="J50" s="15">
        <v>176</v>
      </c>
      <c r="K50" s="15">
        <v>107</v>
      </c>
      <c r="L50" s="15">
        <v>85</v>
      </c>
      <c r="M50" s="15">
        <v>174</v>
      </c>
      <c r="N50" s="15">
        <v>120</v>
      </c>
      <c r="O50" s="15">
        <v>201</v>
      </c>
      <c r="P50" s="15">
        <v>206</v>
      </c>
      <c r="Q50" s="15">
        <v>187</v>
      </c>
      <c r="R50" s="15">
        <v>33</v>
      </c>
      <c r="S50" s="17">
        <v>2006</v>
      </c>
      <c r="T50" s="5"/>
      <c r="U50" s="5"/>
    </row>
    <row r="51" spans="1:21" s="30" customFormat="1" ht="10.5" customHeight="1" x14ac:dyDescent="0.3">
      <c r="A51" s="14">
        <v>2007</v>
      </c>
      <c r="B51" s="15">
        <f>SUM(C51:R51)</f>
        <v>1426</v>
      </c>
      <c r="C51" s="18">
        <f>'[2]2007상호금융점포'!$B$14</f>
        <v>23</v>
      </c>
      <c r="D51" s="18">
        <f>'[2]2007상호금융점포'!$C$14</f>
        <v>24</v>
      </c>
      <c r="E51" s="18">
        <f>'[2]2007상호금융점포'!$D$14</f>
        <v>25</v>
      </c>
      <c r="F51" s="18">
        <f>'[2]2007상호금융점포'!$E$14</f>
        <v>26</v>
      </c>
      <c r="G51" s="18">
        <f>'[2]2007상호금융점포'!$F$14</f>
        <v>18</v>
      </c>
      <c r="H51" s="18">
        <f>'[2]2007상호금융점포'!$G$14</f>
        <v>16</v>
      </c>
      <c r="I51" s="18">
        <f>'[2]2007상호금융점포'!$H$14</f>
        <v>20</v>
      </c>
      <c r="J51" s="18">
        <f>'[2]2007상호금융점포'!$I$14</f>
        <v>178</v>
      </c>
      <c r="K51" s="18">
        <f>'[2]2007상호금융점포'!$J$14</f>
        <v>106</v>
      </c>
      <c r="L51" s="18">
        <f>'[2]2007상호금융점포'!$K$14</f>
        <v>83</v>
      </c>
      <c r="M51" s="18">
        <f>'[2]2007상호금융점포'!$L$14</f>
        <v>171</v>
      </c>
      <c r="N51" s="18">
        <f>'[2]2007상호금융점포'!$M$14</f>
        <v>117</v>
      </c>
      <c r="O51" s="18">
        <f>'[2]2007상호금융점포'!$N$14</f>
        <v>200</v>
      </c>
      <c r="P51" s="18">
        <f>'[2]2007상호금융점포'!$O$14</f>
        <v>203</v>
      </c>
      <c r="Q51" s="18">
        <f>'[2]2007상호금융점포'!$P$14</f>
        <v>182</v>
      </c>
      <c r="R51" s="18">
        <f>'[2]2007상호금융점포'!$Q$14</f>
        <v>34</v>
      </c>
      <c r="S51" s="17">
        <v>2007</v>
      </c>
      <c r="T51" s="5"/>
      <c r="U51" s="5"/>
    </row>
    <row r="52" spans="1:21" ht="16.5" customHeight="1" x14ac:dyDescent="0.3">
      <c r="A52" s="133" t="s">
        <v>134</v>
      </c>
      <c r="B52" s="133"/>
      <c r="C52" s="133"/>
      <c r="D52" s="133"/>
      <c r="E52" s="133"/>
      <c r="F52" s="133"/>
      <c r="G52" s="133"/>
      <c r="H52" s="133"/>
      <c r="I52" s="133"/>
      <c r="J52" s="133" t="s">
        <v>134</v>
      </c>
      <c r="K52" s="133"/>
      <c r="L52" s="133"/>
      <c r="M52" s="133"/>
      <c r="N52" s="133"/>
      <c r="O52" s="133"/>
      <c r="P52" s="133"/>
      <c r="Q52" s="133"/>
      <c r="R52" s="133"/>
      <c r="S52" s="133"/>
      <c r="T52" s="5"/>
      <c r="U52" s="5"/>
    </row>
    <row r="53" spans="1:21" ht="10.5" hidden="1" customHeight="1" x14ac:dyDescent="0.3">
      <c r="A53" s="14">
        <v>1994</v>
      </c>
      <c r="B53" s="15">
        <v>3063</v>
      </c>
      <c r="C53" s="15">
        <v>531</v>
      </c>
      <c r="D53" s="15">
        <v>242</v>
      </c>
      <c r="E53" s="15">
        <v>171</v>
      </c>
      <c r="F53" s="15">
        <v>121</v>
      </c>
      <c r="G53" s="15">
        <v>90</v>
      </c>
      <c r="H53" s="15">
        <v>92</v>
      </c>
      <c r="I53" s="15" t="s">
        <v>20</v>
      </c>
      <c r="J53" s="15">
        <v>340</v>
      </c>
      <c r="K53" s="15">
        <v>176</v>
      </c>
      <c r="L53" s="15">
        <v>132</v>
      </c>
      <c r="M53" s="15">
        <v>128</v>
      </c>
      <c r="N53" s="15">
        <v>148</v>
      </c>
      <c r="O53" s="15">
        <v>176</v>
      </c>
      <c r="P53" s="15">
        <v>343</v>
      </c>
      <c r="Q53" s="15">
        <v>310</v>
      </c>
      <c r="R53" s="15">
        <v>63</v>
      </c>
      <c r="S53" s="16">
        <v>1994</v>
      </c>
      <c r="T53" s="5"/>
      <c r="U53" s="5"/>
    </row>
    <row r="54" spans="1:21" ht="10.5" hidden="1" customHeight="1" x14ac:dyDescent="0.3">
      <c r="A54" s="14">
        <v>1995</v>
      </c>
      <c r="B54" s="15">
        <v>2969</v>
      </c>
      <c r="C54" s="15">
        <v>519</v>
      </c>
      <c r="D54" s="15">
        <v>248</v>
      </c>
      <c r="E54" s="15">
        <v>185</v>
      </c>
      <c r="F54" s="15">
        <v>116</v>
      </c>
      <c r="G54" s="15">
        <v>90</v>
      </c>
      <c r="H54" s="15">
        <v>93</v>
      </c>
      <c r="I54" s="15" t="s">
        <v>20</v>
      </c>
      <c r="J54" s="15">
        <v>315</v>
      </c>
      <c r="K54" s="15">
        <v>160</v>
      </c>
      <c r="L54" s="15">
        <v>121</v>
      </c>
      <c r="M54" s="15">
        <v>124</v>
      </c>
      <c r="N54" s="15">
        <v>146</v>
      </c>
      <c r="O54" s="15">
        <v>169</v>
      </c>
      <c r="P54" s="15">
        <v>327</v>
      </c>
      <c r="Q54" s="15">
        <v>292</v>
      </c>
      <c r="R54" s="15">
        <v>64</v>
      </c>
      <c r="S54" s="16">
        <v>1995</v>
      </c>
      <c r="T54" s="5"/>
      <c r="U54" s="5"/>
    </row>
    <row r="55" spans="1:21" ht="10.5" hidden="1" customHeight="1" x14ac:dyDescent="0.3">
      <c r="A55" s="14">
        <v>1996</v>
      </c>
      <c r="B55" s="15">
        <v>2863</v>
      </c>
      <c r="C55" s="15">
        <v>503</v>
      </c>
      <c r="D55" s="15">
        <v>248</v>
      </c>
      <c r="E55" s="15">
        <v>179</v>
      </c>
      <c r="F55" s="15">
        <v>112</v>
      </c>
      <c r="G55" s="15">
        <v>88</v>
      </c>
      <c r="H55" s="15">
        <v>90</v>
      </c>
      <c r="I55" s="15" t="s">
        <v>20</v>
      </c>
      <c r="J55" s="15">
        <v>300</v>
      </c>
      <c r="K55" s="15">
        <v>153</v>
      </c>
      <c r="L55" s="15">
        <v>115</v>
      </c>
      <c r="M55" s="15">
        <v>120</v>
      </c>
      <c r="N55" s="15">
        <v>141</v>
      </c>
      <c r="O55" s="15">
        <v>166</v>
      </c>
      <c r="P55" s="15">
        <v>316</v>
      </c>
      <c r="Q55" s="15">
        <v>267</v>
      </c>
      <c r="R55" s="15">
        <v>65</v>
      </c>
      <c r="S55" s="16">
        <v>1996</v>
      </c>
      <c r="T55" s="5"/>
      <c r="U55" s="5"/>
    </row>
    <row r="56" spans="1:21" ht="10.5" hidden="1" customHeight="1" x14ac:dyDescent="0.3">
      <c r="A56" s="14">
        <v>1997</v>
      </c>
      <c r="B56" s="15">
        <v>2743</v>
      </c>
      <c r="C56" s="15">
        <v>479</v>
      </c>
      <c r="D56" s="15">
        <v>240</v>
      </c>
      <c r="E56" s="15">
        <v>176</v>
      </c>
      <c r="F56" s="15">
        <v>106</v>
      </c>
      <c r="G56" s="15">
        <v>88</v>
      </c>
      <c r="H56" s="15">
        <v>85</v>
      </c>
      <c r="I56" s="15">
        <v>49</v>
      </c>
      <c r="J56" s="15">
        <v>292</v>
      </c>
      <c r="K56" s="15">
        <v>144</v>
      </c>
      <c r="L56" s="15">
        <v>110</v>
      </c>
      <c r="M56" s="15">
        <v>116</v>
      </c>
      <c r="N56" s="15">
        <v>136</v>
      </c>
      <c r="O56" s="15">
        <v>158</v>
      </c>
      <c r="P56" s="15">
        <v>303</v>
      </c>
      <c r="Q56" s="15">
        <v>200</v>
      </c>
      <c r="R56" s="15">
        <v>61</v>
      </c>
      <c r="S56" s="16">
        <v>1997</v>
      </c>
      <c r="T56" s="5"/>
      <c r="U56" s="5"/>
    </row>
    <row r="57" spans="1:21" ht="10.5" hidden="1" customHeight="1" x14ac:dyDescent="0.3">
      <c r="A57" s="14">
        <v>1998</v>
      </c>
      <c r="B57" s="15">
        <v>2590</v>
      </c>
      <c r="C57" s="15">
        <v>450</v>
      </c>
      <c r="D57" s="15">
        <v>234</v>
      </c>
      <c r="E57" s="15">
        <v>170</v>
      </c>
      <c r="F57" s="15">
        <v>103</v>
      </c>
      <c r="G57" s="15">
        <v>83</v>
      </c>
      <c r="H57" s="15">
        <v>77</v>
      </c>
      <c r="I57" s="15">
        <v>44</v>
      </c>
      <c r="J57" s="15">
        <v>265</v>
      </c>
      <c r="K57" s="15">
        <v>136</v>
      </c>
      <c r="L57" s="15">
        <v>102</v>
      </c>
      <c r="M57" s="15">
        <v>117</v>
      </c>
      <c r="N57" s="15">
        <v>126</v>
      </c>
      <c r="O57" s="15">
        <v>152</v>
      </c>
      <c r="P57" s="15">
        <v>282</v>
      </c>
      <c r="Q57" s="15">
        <v>192</v>
      </c>
      <c r="R57" s="15">
        <v>57</v>
      </c>
      <c r="S57" s="16">
        <v>1998</v>
      </c>
      <c r="T57" s="5"/>
      <c r="U57" s="5"/>
    </row>
    <row r="58" spans="1:21" ht="10.5" hidden="1" customHeight="1" x14ac:dyDescent="0.3">
      <c r="A58" s="14">
        <v>1999</v>
      </c>
      <c r="B58" s="15">
        <v>2126</v>
      </c>
      <c r="C58" s="15">
        <v>414</v>
      </c>
      <c r="D58" s="15">
        <v>225</v>
      </c>
      <c r="E58" s="15">
        <v>161</v>
      </c>
      <c r="F58" s="15">
        <v>90</v>
      </c>
      <c r="G58" s="15">
        <v>70</v>
      </c>
      <c r="H58" s="15">
        <v>70</v>
      </c>
      <c r="I58" s="15">
        <v>36</v>
      </c>
      <c r="J58" s="15">
        <v>174</v>
      </c>
      <c r="K58" s="15">
        <v>83</v>
      </c>
      <c r="L58" s="15">
        <v>73</v>
      </c>
      <c r="M58" s="15">
        <v>92</v>
      </c>
      <c r="N58" s="15">
        <v>104</v>
      </c>
      <c r="O58" s="15">
        <v>105</v>
      </c>
      <c r="P58" s="15">
        <v>223</v>
      </c>
      <c r="Q58" s="15">
        <v>150</v>
      </c>
      <c r="R58" s="15">
        <v>56</v>
      </c>
      <c r="S58" s="16">
        <v>1999</v>
      </c>
      <c r="T58" s="5"/>
      <c r="U58" s="5"/>
    </row>
    <row r="59" spans="1:21" ht="10.5" customHeight="1" x14ac:dyDescent="0.3">
      <c r="A59" s="14">
        <v>2000</v>
      </c>
      <c r="B59" s="15">
        <v>1817</v>
      </c>
      <c r="C59" s="15">
        <v>339</v>
      </c>
      <c r="D59" s="15">
        <v>212</v>
      </c>
      <c r="E59" s="15">
        <v>145</v>
      </c>
      <c r="F59" s="15">
        <v>74</v>
      </c>
      <c r="G59" s="15">
        <v>56</v>
      </c>
      <c r="H59" s="15">
        <v>60</v>
      </c>
      <c r="I59" s="15">
        <v>35</v>
      </c>
      <c r="J59" s="15">
        <v>140</v>
      </c>
      <c r="K59" s="15">
        <v>72</v>
      </c>
      <c r="L59" s="15">
        <v>65</v>
      </c>
      <c r="M59" s="15">
        <v>75</v>
      </c>
      <c r="N59" s="15">
        <v>84</v>
      </c>
      <c r="O59" s="15">
        <v>91</v>
      </c>
      <c r="P59" s="15">
        <v>184</v>
      </c>
      <c r="Q59" s="15">
        <v>137</v>
      </c>
      <c r="R59" s="15">
        <v>48</v>
      </c>
      <c r="S59" s="16">
        <v>2000</v>
      </c>
      <c r="T59" s="5"/>
      <c r="U59" s="5"/>
    </row>
    <row r="60" spans="1:21" ht="10.5" customHeight="1" x14ac:dyDescent="0.3">
      <c r="A60" s="14">
        <v>2001</v>
      </c>
      <c r="B60" s="15">
        <v>1730</v>
      </c>
      <c r="C60" s="15">
        <v>315</v>
      </c>
      <c r="D60" s="15">
        <v>203</v>
      </c>
      <c r="E60" s="15">
        <v>133</v>
      </c>
      <c r="F60" s="15">
        <v>64</v>
      </c>
      <c r="G60" s="15">
        <v>54</v>
      </c>
      <c r="H60" s="15">
        <v>56</v>
      </c>
      <c r="I60" s="15">
        <v>35</v>
      </c>
      <c r="J60" s="15">
        <v>138</v>
      </c>
      <c r="K60" s="15">
        <v>67</v>
      </c>
      <c r="L60" s="15">
        <v>63</v>
      </c>
      <c r="M60" s="15">
        <v>71</v>
      </c>
      <c r="N60" s="15">
        <v>82</v>
      </c>
      <c r="O60" s="15">
        <v>87</v>
      </c>
      <c r="P60" s="15">
        <v>183</v>
      </c>
      <c r="Q60" s="15">
        <v>133</v>
      </c>
      <c r="R60" s="15">
        <v>46</v>
      </c>
      <c r="S60" s="16">
        <v>2001</v>
      </c>
      <c r="T60" s="5"/>
      <c r="U60" s="5"/>
    </row>
    <row r="61" spans="1:21" ht="10.5" customHeight="1" x14ac:dyDescent="0.3">
      <c r="A61" s="14">
        <v>2002</v>
      </c>
      <c r="B61" s="15">
        <v>1701</v>
      </c>
      <c r="C61" s="15">
        <v>309</v>
      </c>
      <c r="D61" s="15">
        <v>202</v>
      </c>
      <c r="E61" s="15">
        <v>133</v>
      </c>
      <c r="F61" s="15">
        <v>61</v>
      </c>
      <c r="G61" s="15">
        <v>53</v>
      </c>
      <c r="H61" s="15">
        <v>55</v>
      </c>
      <c r="I61" s="15">
        <v>35</v>
      </c>
      <c r="J61" s="15">
        <v>137</v>
      </c>
      <c r="K61" s="15">
        <v>66</v>
      </c>
      <c r="L61" s="15">
        <v>62</v>
      </c>
      <c r="M61" s="15">
        <v>70</v>
      </c>
      <c r="N61" s="15">
        <v>78</v>
      </c>
      <c r="O61" s="15">
        <v>84</v>
      </c>
      <c r="P61" s="15">
        <v>180</v>
      </c>
      <c r="Q61" s="15">
        <v>130</v>
      </c>
      <c r="R61" s="15">
        <v>46</v>
      </c>
      <c r="S61" s="16">
        <v>2002</v>
      </c>
      <c r="T61" s="5"/>
      <c r="U61" s="5"/>
    </row>
    <row r="62" spans="1:21" ht="6" customHeight="1" x14ac:dyDescent="0.3">
      <c r="A62" s="14" t="s">
        <v>1</v>
      </c>
      <c r="B62" s="15" t="s">
        <v>2</v>
      </c>
      <c r="C62" s="15" t="s">
        <v>3</v>
      </c>
      <c r="D62" s="15" t="s">
        <v>3</v>
      </c>
      <c r="E62" s="15" t="s">
        <v>3</v>
      </c>
      <c r="F62" s="15" t="s">
        <v>3</v>
      </c>
      <c r="G62" s="15" t="s">
        <v>0</v>
      </c>
      <c r="H62" s="15" t="s">
        <v>0</v>
      </c>
      <c r="I62" s="15" t="s">
        <v>0</v>
      </c>
      <c r="J62" s="15" t="s">
        <v>0</v>
      </c>
      <c r="K62" s="15" t="s">
        <v>0</v>
      </c>
      <c r="L62" s="15" t="s">
        <v>0</v>
      </c>
      <c r="M62" s="15" t="s">
        <v>0</v>
      </c>
      <c r="N62" s="15" t="s">
        <v>0</v>
      </c>
      <c r="O62" s="15" t="s">
        <v>0</v>
      </c>
      <c r="P62" s="15" t="s">
        <v>0</v>
      </c>
      <c r="Q62" s="15" t="s">
        <v>0</v>
      </c>
      <c r="R62" s="15" t="s">
        <v>0</v>
      </c>
      <c r="S62" s="16"/>
      <c r="T62" s="5"/>
      <c r="U62" s="5"/>
    </row>
    <row r="63" spans="1:21" ht="10.5" customHeight="1" x14ac:dyDescent="0.3">
      <c r="A63" s="14">
        <v>2003</v>
      </c>
      <c r="B63" s="15">
        <v>1671</v>
      </c>
      <c r="C63" s="15">
        <v>302</v>
      </c>
      <c r="D63" s="15">
        <v>200</v>
      </c>
      <c r="E63" s="15">
        <v>132</v>
      </c>
      <c r="F63" s="15">
        <v>59</v>
      </c>
      <c r="G63" s="15">
        <v>50</v>
      </c>
      <c r="H63" s="15">
        <v>53</v>
      </c>
      <c r="I63" s="15">
        <v>35</v>
      </c>
      <c r="J63" s="15">
        <v>137</v>
      </c>
      <c r="K63" s="15">
        <v>65</v>
      </c>
      <c r="L63" s="15">
        <v>59</v>
      </c>
      <c r="M63" s="15">
        <v>68</v>
      </c>
      <c r="N63" s="15">
        <v>76</v>
      </c>
      <c r="O63" s="15">
        <v>82</v>
      </c>
      <c r="P63" s="15">
        <v>179</v>
      </c>
      <c r="Q63" s="15">
        <v>128</v>
      </c>
      <c r="R63" s="15">
        <v>46</v>
      </c>
      <c r="S63" s="17">
        <v>2003</v>
      </c>
      <c r="T63" s="5"/>
      <c r="U63" s="5"/>
    </row>
    <row r="64" spans="1:21" s="30" customFormat="1" ht="10.5" customHeight="1" x14ac:dyDescent="0.3">
      <c r="A64" s="17">
        <v>2004</v>
      </c>
      <c r="B64" s="15">
        <v>1647</v>
      </c>
      <c r="C64" s="15">
        <v>302</v>
      </c>
      <c r="D64" s="15">
        <v>197</v>
      </c>
      <c r="E64" s="15">
        <v>131</v>
      </c>
      <c r="F64" s="15">
        <v>58</v>
      </c>
      <c r="G64" s="15">
        <v>49</v>
      </c>
      <c r="H64" s="15">
        <v>52</v>
      </c>
      <c r="I64" s="15">
        <v>35</v>
      </c>
      <c r="J64" s="15">
        <v>134</v>
      </c>
      <c r="K64" s="15">
        <v>65</v>
      </c>
      <c r="L64" s="15">
        <v>57</v>
      </c>
      <c r="M64" s="15">
        <v>68</v>
      </c>
      <c r="N64" s="15">
        <v>75</v>
      </c>
      <c r="O64" s="15">
        <v>76</v>
      </c>
      <c r="P64" s="15">
        <v>176</v>
      </c>
      <c r="Q64" s="15">
        <v>127</v>
      </c>
      <c r="R64" s="15">
        <v>45</v>
      </c>
      <c r="S64" s="17">
        <v>2004</v>
      </c>
      <c r="T64" s="5"/>
      <c r="U64" s="5"/>
    </row>
    <row r="65" spans="1:21" s="30" customFormat="1" ht="9" customHeight="1" x14ac:dyDescent="0.3">
      <c r="A65" s="17">
        <v>2005</v>
      </c>
      <c r="B65" s="15">
        <v>1612</v>
      </c>
      <c r="C65" s="15">
        <v>300</v>
      </c>
      <c r="D65" s="15">
        <v>193</v>
      </c>
      <c r="E65" s="15">
        <v>128</v>
      </c>
      <c r="F65" s="15">
        <v>58</v>
      </c>
      <c r="G65" s="15">
        <v>47</v>
      </c>
      <c r="H65" s="15">
        <v>48</v>
      </c>
      <c r="I65" s="15">
        <v>35</v>
      </c>
      <c r="J65" s="15">
        <v>130</v>
      </c>
      <c r="K65" s="15">
        <v>64</v>
      </c>
      <c r="L65" s="15">
        <v>56</v>
      </c>
      <c r="M65" s="15">
        <v>68</v>
      </c>
      <c r="N65" s="15">
        <v>74</v>
      </c>
      <c r="O65" s="15">
        <v>72</v>
      </c>
      <c r="P65" s="15">
        <v>170</v>
      </c>
      <c r="Q65" s="15">
        <v>124</v>
      </c>
      <c r="R65" s="15">
        <v>45</v>
      </c>
      <c r="S65" s="17">
        <v>2005</v>
      </c>
      <c r="T65" s="5"/>
      <c r="U65" s="5"/>
    </row>
    <row r="66" spans="1:21" s="30" customFormat="1" ht="10.5" customHeight="1" x14ac:dyDescent="0.3">
      <c r="A66" s="17">
        <v>2006</v>
      </c>
      <c r="B66" s="15">
        <f>SUM(C66:R66)</f>
        <v>1579</v>
      </c>
      <c r="C66" s="15">
        <v>295</v>
      </c>
      <c r="D66" s="15">
        <v>187</v>
      </c>
      <c r="E66" s="15">
        <v>127</v>
      </c>
      <c r="F66" s="15">
        <v>57</v>
      </c>
      <c r="G66" s="15">
        <v>46</v>
      </c>
      <c r="H66" s="15">
        <v>46</v>
      </c>
      <c r="I66" s="15">
        <v>35</v>
      </c>
      <c r="J66" s="15">
        <v>125</v>
      </c>
      <c r="K66" s="15">
        <v>63</v>
      </c>
      <c r="L66" s="15">
        <v>56</v>
      </c>
      <c r="M66" s="15">
        <v>67</v>
      </c>
      <c r="N66" s="15">
        <v>71</v>
      </c>
      <c r="O66" s="15">
        <v>71</v>
      </c>
      <c r="P66" s="15">
        <v>166</v>
      </c>
      <c r="Q66" s="15">
        <v>122</v>
      </c>
      <c r="R66" s="15">
        <v>45</v>
      </c>
      <c r="S66" s="17">
        <v>2006</v>
      </c>
      <c r="T66" s="5"/>
      <c r="U66" s="5"/>
    </row>
    <row r="67" spans="1:21" s="30" customFormat="1" ht="10.5" customHeight="1" x14ac:dyDescent="0.3">
      <c r="A67" s="14">
        <v>2007</v>
      </c>
      <c r="B67" s="15">
        <f>SUM(C67:R67)</f>
        <v>1543</v>
      </c>
      <c r="C67" s="18">
        <v>288</v>
      </c>
      <c r="D67" s="18">
        <v>180</v>
      </c>
      <c r="E67" s="18">
        <v>127</v>
      </c>
      <c r="F67" s="18">
        <v>56</v>
      </c>
      <c r="G67" s="18">
        <v>46</v>
      </c>
      <c r="H67" s="18">
        <v>46</v>
      </c>
      <c r="I67" s="18">
        <v>34</v>
      </c>
      <c r="J67" s="18">
        <v>124</v>
      </c>
      <c r="K67" s="18">
        <v>62</v>
      </c>
      <c r="L67" s="18">
        <v>55</v>
      </c>
      <c r="M67" s="18">
        <v>64</v>
      </c>
      <c r="N67" s="18">
        <v>69</v>
      </c>
      <c r="O67" s="18">
        <v>68</v>
      </c>
      <c r="P67" s="18">
        <v>162</v>
      </c>
      <c r="Q67" s="18">
        <v>117</v>
      </c>
      <c r="R67" s="18">
        <v>45</v>
      </c>
      <c r="S67" s="17">
        <v>2007</v>
      </c>
      <c r="T67" s="5"/>
      <c r="U67" s="5"/>
    </row>
    <row r="68" spans="1:21" ht="16.5" customHeight="1" x14ac:dyDescent="0.3">
      <c r="A68" s="133" t="s">
        <v>135</v>
      </c>
      <c r="B68" s="133"/>
      <c r="C68" s="133"/>
      <c r="D68" s="133"/>
      <c r="E68" s="133"/>
      <c r="F68" s="133"/>
      <c r="G68" s="133"/>
      <c r="H68" s="133"/>
      <c r="I68" s="133"/>
      <c r="J68" s="133" t="s">
        <v>27</v>
      </c>
      <c r="K68" s="133"/>
      <c r="L68" s="133"/>
      <c r="M68" s="133"/>
      <c r="N68" s="133"/>
      <c r="O68" s="133"/>
      <c r="P68" s="133"/>
      <c r="Q68" s="133"/>
      <c r="R68" s="133"/>
      <c r="S68" s="133"/>
      <c r="T68" s="5"/>
      <c r="U68" s="5"/>
    </row>
    <row r="69" spans="1:21" ht="10.5" hidden="1" customHeight="1" x14ac:dyDescent="0.3">
      <c r="A69" s="14">
        <v>1994</v>
      </c>
      <c r="B69" s="15">
        <v>12430</v>
      </c>
      <c r="C69" s="15">
        <v>3479</v>
      </c>
      <c r="D69" s="15">
        <v>1351</v>
      </c>
      <c r="E69" s="15">
        <v>796</v>
      </c>
      <c r="F69" s="15">
        <v>543</v>
      </c>
      <c r="G69" s="15">
        <v>562</v>
      </c>
      <c r="H69" s="15">
        <v>437</v>
      </c>
      <c r="I69" s="15" t="s">
        <v>20</v>
      </c>
      <c r="J69" s="15">
        <v>1281</v>
      </c>
      <c r="K69" s="15">
        <v>395</v>
      </c>
      <c r="L69" s="15">
        <v>371</v>
      </c>
      <c r="M69" s="15">
        <v>328</v>
      </c>
      <c r="N69" s="15">
        <v>563</v>
      </c>
      <c r="O69" s="15">
        <v>516</v>
      </c>
      <c r="P69" s="15">
        <v>562</v>
      </c>
      <c r="Q69" s="15">
        <v>1040</v>
      </c>
      <c r="R69" s="15">
        <v>206</v>
      </c>
      <c r="S69" s="16">
        <v>1994</v>
      </c>
      <c r="T69" s="5"/>
      <c r="U69" s="5"/>
    </row>
    <row r="70" spans="1:21" ht="10.5" hidden="1" customHeight="1" x14ac:dyDescent="0.3">
      <c r="A70" s="14">
        <v>1995</v>
      </c>
      <c r="B70" s="15">
        <v>14773</v>
      </c>
      <c r="C70" s="15">
        <v>4092</v>
      </c>
      <c r="D70" s="15">
        <v>1531</v>
      </c>
      <c r="E70" s="15">
        <v>970</v>
      </c>
      <c r="F70" s="15">
        <v>657</v>
      </c>
      <c r="G70" s="15">
        <v>691</v>
      </c>
      <c r="H70" s="15">
        <v>517</v>
      </c>
      <c r="I70" s="15" t="s">
        <v>20</v>
      </c>
      <c r="J70" s="15">
        <v>1590</v>
      </c>
      <c r="K70" s="15">
        <v>486</v>
      </c>
      <c r="L70" s="15">
        <v>465</v>
      </c>
      <c r="M70" s="15">
        <v>370</v>
      </c>
      <c r="N70" s="15">
        <v>685</v>
      </c>
      <c r="O70" s="15">
        <v>609</v>
      </c>
      <c r="P70" s="15">
        <v>640</v>
      </c>
      <c r="Q70" s="15">
        <v>1213</v>
      </c>
      <c r="R70" s="15">
        <v>257</v>
      </c>
      <c r="S70" s="16">
        <v>1995</v>
      </c>
      <c r="T70" s="5"/>
      <c r="U70" s="5"/>
    </row>
    <row r="71" spans="1:21" ht="11.25" hidden="1" customHeight="1" x14ac:dyDescent="0.3">
      <c r="A71" s="14">
        <v>1996</v>
      </c>
      <c r="B71" s="15">
        <v>13846</v>
      </c>
      <c r="C71" s="15">
        <v>3732</v>
      </c>
      <c r="D71" s="15">
        <v>1403</v>
      </c>
      <c r="E71" s="15">
        <v>897</v>
      </c>
      <c r="F71" s="15">
        <v>629</v>
      </c>
      <c r="G71" s="15">
        <v>633</v>
      </c>
      <c r="H71" s="15">
        <v>471</v>
      </c>
      <c r="I71" s="15" t="s">
        <v>20</v>
      </c>
      <c r="J71" s="15">
        <v>1588</v>
      </c>
      <c r="K71" s="15">
        <v>474</v>
      </c>
      <c r="L71" s="15">
        <v>424</v>
      </c>
      <c r="M71" s="15">
        <v>352</v>
      </c>
      <c r="N71" s="15">
        <v>611</v>
      </c>
      <c r="O71" s="15">
        <v>584</v>
      </c>
      <c r="P71" s="15">
        <v>619</v>
      </c>
      <c r="Q71" s="15">
        <v>1185</v>
      </c>
      <c r="R71" s="15">
        <v>244</v>
      </c>
      <c r="S71" s="16">
        <v>1996</v>
      </c>
      <c r="T71" s="5"/>
      <c r="U71" s="5"/>
    </row>
    <row r="72" spans="1:21" ht="10.5" hidden="1" customHeight="1" x14ac:dyDescent="0.3">
      <c r="A72" s="14">
        <v>1997</v>
      </c>
      <c r="B72" s="15">
        <v>12244</v>
      </c>
      <c r="C72" s="15">
        <v>3153</v>
      </c>
      <c r="D72" s="15">
        <v>1164</v>
      </c>
      <c r="E72" s="15">
        <v>743</v>
      </c>
      <c r="F72" s="15">
        <v>567</v>
      </c>
      <c r="G72" s="15">
        <v>559</v>
      </c>
      <c r="H72" s="15">
        <v>418</v>
      </c>
      <c r="I72" s="15">
        <v>291</v>
      </c>
      <c r="J72" s="15">
        <v>1502</v>
      </c>
      <c r="K72" s="15">
        <v>452</v>
      </c>
      <c r="L72" s="15">
        <v>368</v>
      </c>
      <c r="M72" s="15">
        <v>343</v>
      </c>
      <c r="N72" s="15">
        <v>573</v>
      </c>
      <c r="O72" s="15">
        <v>534</v>
      </c>
      <c r="P72" s="15">
        <v>567</v>
      </c>
      <c r="Q72" s="15">
        <v>812</v>
      </c>
      <c r="R72" s="15">
        <v>198</v>
      </c>
      <c r="S72" s="16">
        <v>1997</v>
      </c>
      <c r="T72" s="5"/>
      <c r="U72" s="5"/>
    </row>
    <row r="73" spans="1:21" ht="10.5" hidden="1" customHeight="1" x14ac:dyDescent="0.3">
      <c r="A73" s="14">
        <v>1998</v>
      </c>
      <c r="B73" s="15">
        <v>8955</v>
      </c>
      <c r="C73" s="15">
        <v>2366</v>
      </c>
      <c r="D73" s="15">
        <v>823</v>
      </c>
      <c r="E73" s="15">
        <v>519</v>
      </c>
      <c r="F73" s="15">
        <v>404</v>
      </c>
      <c r="G73" s="15">
        <v>396</v>
      </c>
      <c r="H73" s="15">
        <v>293</v>
      </c>
      <c r="I73" s="15">
        <v>206</v>
      </c>
      <c r="J73" s="15">
        <v>1167</v>
      </c>
      <c r="K73" s="15">
        <v>326</v>
      </c>
      <c r="L73" s="15">
        <v>263</v>
      </c>
      <c r="M73" s="15">
        <v>260</v>
      </c>
      <c r="N73" s="15">
        <v>396</v>
      </c>
      <c r="O73" s="15">
        <v>395</v>
      </c>
      <c r="P73" s="15">
        <v>435</v>
      </c>
      <c r="Q73" s="15">
        <v>576</v>
      </c>
      <c r="R73" s="15">
        <v>130</v>
      </c>
      <c r="S73" s="16">
        <v>1998</v>
      </c>
      <c r="T73" s="5"/>
      <c r="U73" s="5"/>
    </row>
    <row r="74" spans="1:21" ht="10.5" hidden="1" customHeight="1" x14ac:dyDescent="0.3">
      <c r="A74" s="14">
        <v>1999</v>
      </c>
      <c r="B74" s="15">
        <v>8160</v>
      </c>
      <c r="C74" s="15">
        <v>2152</v>
      </c>
      <c r="D74" s="15">
        <v>739</v>
      </c>
      <c r="E74" s="15">
        <v>467</v>
      </c>
      <c r="F74" s="15">
        <v>379</v>
      </c>
      <c r="G74" s="15">
        <v>350</v>
      </c>
      <c r="H74" s="15">
        <v>248</v>
      </c>
      <c r="I74" s="15">
        <v>190</v>
      </c>
      <c r="J74" s="15">
        <v>1104</v>
      </c>
      <c r="K74" s="15">
        <v>307</v>
      </c>
      <c r="L74" s="15">
        <v>245</v>
      </c>
      <c r="M74" s="15">
        <v>244</v>
      </c>
      <c r="N74" s="15">
        <v>365</v>
      </c>
      <c r="O74" s="15">
        <v>369</v>
      </c>
      <c r="P74" s="15">
        <v>401</v>
      </c>
      <c r="Q74" s="15">
        <v>480</v>
      </c>
      <c r="R74" s="15">
        <v>120</v>
      </c>
      <c r="S74" s="16">
        <v>1999</v>
      </c>
      <c r="T74" s="5"/>
      <c r="U74" s="5"/>
    </row>
    <row r="75" spans="1:21" ht="10.5" customHeight="1" x14ac:dyDescent="0.3">
      <c r="A75" s="14">
        <v>2000</v>
      </c>
      <c r="B75" s="15">
        <v>6889</v>
      </c>
      <c r="C75" s="15">
        <v>1781</v>
      </c>
      <c r="D75" s="15">
        <v>604</v>
      </c>
      <c r="E75" s="15">
        <v>366</v>
      </c>
      <c r="F75" s="15">
        <v>337</v>
      </c>
      <c r="G75" s="15">
        <v>287</v>
      </c>
      <c r="H75" s="15">
        <v>208</v>
      </c>
      <c r="I75" s="15">
        <v>140</v>
      </c>
      <c r="J75" s="15">
        <v>1002</v>
      </c>
      <c r="K75" s="15">
        <v>264</v>
      </c>
      <c r="L75" s="15">
        <v>216</v>
      </c>
      <c r="M75" s="15">
        <v>212</v>
      </c>
      <c r="N75" s="15">
        <v>326</v>
      </c>
      <c r="O75" s="15">
        <v>303</v>
      </c>
      <c r="P75" s="15">
        <v>335</v>
      </c>
      <c r="Q75" s="15">
        <v>410</v>
      </c>
      <c r="R75" s="15">
        <v>98</v>
      </c>
      <c r="S75" s="16">
        <v>2000</v>
      </c>
      <c r="T75" s="5"/>
      <c r="U75" s="5"/>
    </row>
    <row r="76" spans="1:21" ht="10.5" customHeight="1" x14ac:dyDescent="0.3">
      <c r="A76" s="14">
        <v>2001</v>
      </c>
      <c r="B76" s="15">
        <v>5853</v>
      </c>
      <c r="C76" s="15">
        <v>1552</v>
      </c>
      <c r="D76" s="15">
        <v>508</v>
      </c>
      <c r="E76" s="15">
        <v>309</v>
      </c>
      <c r="F76" s="15">
        <v>287</v>
      </c>
      <c r="G76" s="15">
        <v>234</v>
      </c>
      <c r="H76" s="15">
        <v>176</v>
      </c>
      <c r="I76" s="15">
        <v>130</v>
      </c>
      <c r="J76" s="15">
        <v>878</v>
      </c>
      <c r="K76" s="15">
        <v>205</v>
      </c>
      <c r="L76" s="15">
        <v>183</v>
      </c>
      <c r="M76" s="15">
        <v>180</v>
      </c>
      <c r="N76" s="15">
        <v>270</v>
      </c>
      <c r="O76" s="15">
        <v>255</v>
      </c>
      <c r="P76" s="15">
        <v>270</v>
      </c>
      <c r="Q76" s="15">
        <v>335</v>
      </c>
      <c r="R76" s="15">
        <v>81</v>
      </c>
      <c r="S76" s="16">
        <v>2001</v>
      </c>
      <c r="T76" s="5"/>
      <c r="U76" s="5"/>
    </row>
    <row r="77" spans="1:21" ht="10.5" customHeight="1" x14ac:dyDescent="0.3">
      <c r="A77" s="14">
        <v>2002</v>
      </c>
      <c r="B77" s="15">
        <f>SUM(C77:R77)</f>
        <v>5130</v>
      </c>
      <c r="C77" s="15">
        <f>[3]Sheet1!$B$30</f>
        <v>1343</v>
      </c>
      <c r="D77" s="15">
        <f>[3]Sheet1!$C$30</f>
        <v>440</v>
      </c>
      <c r="E77" s="15">
        <f>[3]Sheet1!$D$30</f>
        <v>262</v>
      </c>
      <c r="F77" s="15">
        <f>[3]Sheet1!$E$30</f>
        <v>234</v>
      </c>
      <c r="G77" s="15">
        <f>[3]Sheet1!$F$30</f>
        <v>195</v>
      </c>
      <c r="H77" s="15">
        <f>[3]Sheet1!$G$30</f>
        <v>145</v>
      </c>
      <c r="I77" s="15">
        <f>[3]Sheet1!$H$30</f>
        <v>110</v>
      </c>
      <c r="J77" s="15">
        <f>[3]Sheet1!$I$30</f>
        <v>790</v>
      </c>
      <c r="K77" s="15">
        <f>[3]Sheet1!$J$30</f>
        <v>178</v>
      </c>
      <c r="L77" s="15">
        <f>[3]Sheet1!$K$30</f>
        <v>167</v>
      </c>
      <c r="M77" s="15">
        <f>[3]Sheet1!$L$30</f>
        <v>166</v>
      </c>
      <c r="N77" s="15">
        <f>[3]Sheet1!$M$30</f>
        <v>235</v>
      </c>
      <c r="O77" s="15">
        <f>[3]Sheet1!$N$30</f>
        <v>220</v>
      </c>
      <c r="P77" s="15">
        <f>[3]Sheet1!$O$30</f>
        <v>257</v>
      </c>
      <c r="Q77" s="15">
        <f>[3]Sheet1!$P$30</f>
        <v>313</v>
      </c>
      <c r="R77" s="15">
        <f>[3]Sheet1!$Q$30</f>
        <v>75</v>
      </c>
      <c r="S77" s="16">
        <v>2002</v>
      </c>
      <c r="T77" s="5"/>
      <c r="U77" s="5"/>
    </row>
    <row r="78" spans="1:21" ht="6" customHeight="1" x14ac:dyDescent="0.3">
      <c r="A78" s="14" t="s">
        <v>1</v>
      </c>
      <c r="B78" s="15" t="s">
        <v>2</v>
      </c>
      <c r="C78" s="15" t="s">
        <v>3</v>
      </c>
      <c r="D78" s="15" t="s">
        <v>3</v>
      </c>
      <c r="E78" s="15" t="s">
        <v>3</v>
      </c>
      <c r="F78" s="15" t="s">
        <v>3</v>
      </c>
      <c r="G78" s="15" t="s">
        <v>0</v>
      </c>
      <c r="H78" s="15" t="s">
        <v>0</v>
      </c>
      <c r="I78" s="15" t="s">
        <v>0</v>
      </c>
      <c r="J78" s="15" t="s">
        <v>0</v>
      </c>
      <c r="K78" s="15" t="s">
        <v>0</v>
      </c>
      <c r="L78" s="15" t="s">
        <v>0</v>
      </c>
      <c r="M78" s="15" t="s">
        <v>0</v>
      </c>
      <c r="N78" s="15" t="s">
        <v>0</v>
      </c>
      <c r="O78" s="15" t="s">
        <v>0</v>
      </c>
      <c r="P78" s="15" t="s">
        <v>0</v>
      </c>
      <c r="Q78" s="15" t="s">
        <v>0</v>
      </c>
      <c r="R78" s="15" t="s">
        <v>0</v>
      </c>
      <c r="S78" s="16"/>
      <c r="T78" s="5"/>
      <c r="U78" s="5"/>
    </row>
    <row r="79" spans="1:21" ht="10.5" customHeight="1" x14ac:dyDescent="0.3">
      <c r="A79" s="14">
        <v>2003</v>
      </c>
      <c r="B79" s="15">
        <v>4744</v>
      </c>
      <c r="C79" s="15">
        <v>1293</v>
      </c>
      <c r="D79" s="15">
        <v>393</v>
      </c>
      <c r="E79" s="15">
        <v>248</v>
      </c>
      <c r="F79" s="15">
        <v>216</v>
      </c>
      <c r="G79" s="15">
        <v>187</v>
      </c>
      <c r="H79" s="15">
        <v>144</v>
      </c>
      <c r="I79" s="15">
        <v>106</v>
      </c>
      <c r="J79" s="15">
        <v>744</v>
      </c>
      <c r="K79" s="15">
        <v>152</v>
      </c>
      <c r="L79" s="15">
        <v>140</v>
      </c>
      <c r="M79" s="15">
        <v>149</v>
      </c>
      <c r="N79" s="15">
        <v>218</v>
      </c>
      <c r="O79" s="15">
        <v>194</v>
      </c>
      <c r="P79" s="15">
        <v>220</v>
      </c>
      <c r="Q79" s="15">
        <v>281</v>
      </c>
      <c r="R79" s="15">
        <v>67</v>
      </c>
      <c r="S79" s="16">
        <v>2003</v>
      </c>
      <c r="T79" s="5"/>
      <c r="U79" s="5"/>
    </row>
    <row r="80" spans="1:21" s="42" customFormat="1" ht="10.5" customHeight="1" x14ac:dyDescent="0.3">
      <c r="A80" s="14">
        <v>2004</v>
      </c>
      <c r="B80" s="15">
        <v>4744</v>
      </c>
      <c r="C80" s="15">
        <v>1293</v>
      </c>
      <c r="D80" s="15">
        <v>393</v>
      </c>
      <c r="E80" s="15">
        <v>248</v>
      </c>
      <c r="F80" s="15">
        <v>216</v>
      </c>
      <c r="G80" s="15">
        <v>187</v>
      </c>
      <c r="H80" s="15">
        <v>144</v>
      </c>
      <c r="I80" s="15">
        <v>106</v>
      </c>
      <c r="J80" s="15">
        <v>744</v>
      </c>
      <c r="K80" s="15">
        <v>152</v>
      </c>
      <c r="L80" s="15">
        <v>140</v>
      </c>
      <c r="M80" s="15">
        <v>149</v>
      </c>
      <c r="N80" s="15">
        <v>218</v>
      </c>
      <c r="O80" s="15">
        <v>194</v>
      </c>
      <c r="P80" s="15">
        <v>220</v>
      </c>
      <c r="Q80" s="15">
        <v>277</v>
      </c>
      <c r="R80" s="15">
        <v>63</v>
      </c>
      <c r="S80" s="16">
        <v>2004</v>
      </c>
      <c r="T80" s="5"/>
      <c r="U80" s="5"/>
    </row>
    <row r="81" spans="1:21" s="42" customFormat="1" ht="10.5" customHeight="1" x14ac:dyDescent="0.3">
      <c r="A81" s="14">
        <v>2005</v>
      </c>
      <c r="B81" s="15">
        <f>SUM(C81:R81)</f>
        <v>9070</v>
      </c>
      <c r="C81" s="15">
        <v>3339</v>
      </c>
      <c r="D81" s="15">
        <v>751</v>
      </c>
      <c r="E81" s="15">
        <v>459</v>
      </c>
      <c r="F81" s="15">
        <v>347</v>
      </c>
      <c r="G81" s="15">
        <v>270</v>
      </c>
      <c r="H81" s="15">
        <v>268</v>
      </c>
      <c r="I81" s="15">
        <v>172</v>
      </c>
      <c r="J81" s="15">
        <v>1566</v>
      </c>
      <c r="K81" s="15">
        <v>238</v>
      </c>
      <c r="L81" s="15">
        <v>176</v>
      </c>
      <c r="M81" s="15">
        <v>218</v>
      </c>
      <c r="N81" s="15">
        <v>259</v>
      </c>
      <c r="O81" s="15">
        <v>208</v>
      </c>
      <c r="P81" s="15">
        <v>296</v>
      </c>
      <c r="Q81" s="15">
        <v>405</v>
      </c>
      <c r="R81" s="15">
        <v>98</v>
      </c>
      <c r="S81" s="16">
        <v>2005</v>
      </c>
      <c r="T81" s="5"/>
      <c r="U81" s="5"/>
    </row>
    <row r="82" spans="1:21" s="42" customFormat="1" ht="10.5" customHeight="1" x14ac:dyDescent="0.3">
      <c r="A82" s="14">
        <v>2006</v>
      </c>
      <c r="B82" s="15">
        <f>SUM(C82:R82)</f>
        <v>4554</v>
      </c>
      <c r="C82" s="15">
        <v>1369</v>
      </c>
      <c r="D82" s="15">
        <v>379</v>
      </c>
      <c r="E82" s="15">
        <v>244</v>
      </c>
      <c r="F82" s="15">
        <v>194</v>
      </c>
      <c r="G82" s="15">
        <v>183</v>
      </c>
      <c r="H82" s="15">
        <v>145</v>
      </c>
      <c r="I82" s="15">
        <v>104</v>
      </c>
      <c r="J82" s="15">
        <v>686</v>
      </c>
      <c r="K82" s="15">
        <v>132</v>
      </c>
      <c r="L82" s="15">
        <v>122</v>
      </c>
      <c r="M82" s="15">
        <v>136</v>
      </c>
      <c r="N82" s="15">
        <v>188</v>
      </c>
      <c r="O82" s="15">
        <v>166</v>
      </c>
      <c r="P82" s="15">
        <v>191</v>
      </c>
      <c r="Q82" s="15">
        <v>260</v>
      </c>
      <c r="R82" s="15">
        <v>55</v>
      </c>
      <c r="S82" s="17">
        <v>2006</v>
      </c>
      <c r="T82" s="5"/>
      <c r="U82" s="5"/>
    </row>
    <row r="83" spans="1:21" s="42" customFormat="1" ht="10.5" customHeight="1" x14ac:dyDescent="0.3">
      <c r="A83" s="14">
        <v>2007</v>
      </c>
      <c r="B83" s="15">
        <f>SUM(C83:R83)</f>
        <v>4514</v>
      </c>
      <c r="C83" s="15">
        <v>1428</v>
      </c>
      <c r="D83" s="15">
        <v>378</v>
      </c>
      <c r="E83" s="15">
        <v>232</v>
      </c>
      <c r="F83" s="15">
        <v>183</v>
      </c>
      <c r="G83" s="15">
        <v>183</v>
      </c>
      <c r="H83" s="15">
        <v>147</v>
      </c>
      <c r="I83" s="15">
        <v>104</v>
      </c>
      <c r="J83" s="15">
        <v>641</v>
      </c>
      <c r="K83" s="15">
        <v>131</v>
      </c>
      <c r="L83" s="15">
        <v>122</v>
      </c>
      <c r="M83" s="15">
        <v>128</v>
      </c>
      <c r="N83" s="15">
        <v>182</v>
      </c>
      <c r="O83" s="15">
        <v>160</v>
      </c>
      <c r="P83" s="15">
        <v>181</v>
      </c>
      <c r="Q83" s="15">
        <v>257</v>
      </c>
      <c r="R83" s="15">
        <v>57</v>
      </c>
      <c r="S83" s="17">
        <v>2007</v>
      </c>
      <c r="T83" s="5"/>
      <c r="U83" s="5"/>
    </row>
    <row r="84" spans="1:21" ht="6" customHeight="1" x14ac:dyDescent="0.3">
      <c r="A84" s="68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70"/>
    </row>
    <row r="85" spans="1:21" ht="15" customHeight="1" x14ac:dyDescent="0.3">
      <c r="A85" s="71" t="s">
        <v>136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61"/>
    </row>
    <row r="86" spans="1:21" ht="15" customHeight="1" x14ac:dyDescent="0.3">
      <c r="A86" s="71" t="s">
        <v>148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61"/>
    </row>
    <row r="87" spans="1:21" x14ac:dyDescent="0.3">
      <c r="A87" s="61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61"/>
    </row>
    <row r="88" spans="1:21" x14ac:dyDescent="0.3">
      <c r="A88" s="61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61"/>
    </row>
    <row r="89" spans="1:21" x14ac:dyDescent="0.3">
      <c r="A89" s="61" t="s">
        <v>138</v>
      </c>
      <c r="B89" s="75">
        <f>B16+B32+B48+B64+B80</f>
        <v>12003</v>
      </c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61"/>
    </row>
    <row r="90" spans="1:21" x14ac:dyDescent="0.3">
      <c r="A90" s="61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61"/>
    </row>
    <row r="91" spans="1:21" x14ac:dyDescent="0.3">
      <c r="A91" s="73" t="s">
        <v>139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61"/>
    </row>
    <row r="92" spans="1:21" hidden="1" x14ac:dyDescent="0.3">
      <c r="A92" s="14">
        <v>2002</v>
      </c>
      <c r="B92" s="75">
        <v>1593</v>
      </c>
      <c r="C92" s="75">
        <v>23</v>
      </c>
      <c r="D92" s="75">
        <v>22</v>
      </c>
      <c r="E92" s="75">
        <v>23</v>
      </c>
      <c r="F92" s="75">
        <v>27</v>
      </c>
      <c r="G92" s="75">
        <v>18</v>
      </c>
      <c r="H92" s="75">
        <v>15</v>
      </c>
      <c r="I92" s="75">
        <v>19</v>
      </c>
      <c r="J92" s="75">
        <v>180</v>
      </c>
      <c r="K92" s="75">
        <v>120</v>
      </c>
      <c r="L92" s="75">
        <v>98</v>
      </c>
      <c r="M92" s="75">
        <v>188</v>
      </c>
      <c r="N92" s="75">
        <v>145</v>
      </c>
      <c r="O92" s="75">
        <v>242</v>
      </c>
      <c r="P92" s="75">
        <v>234</v>
      </c>
      <c r="Q92" s="75">
        <v>205</v>
      </c>
      <c r="R92" s="75">
        <v>34</v>
      </c>
      <c r="S92" s="76">
        <f>SUM(C92:R92)</f>
        <v>1593</v>
      </c>
    </row>
    <row r="93" spans="1:21" hidden="1" x14ac:dyDescent="0.3">
      <c r="A93" s="61" t="s">
        <v>140</v>
      </c>
      <c r="B93" s="75">
        <v>1366</v>
      </c>
      <c r="C93" s="30">
        <v>19</v>
      </c>
      <c r="D93" s="30">
        <v>14</v>
      </c>
      <c r="E93" s="30">
        <v>22</v>
      </c>
      <c r="F93" s="30">
        <v>22</v>
      </c>
      <c r="G93" s="30">
        <v>16</v>
      </c>
      <c r="H93" s="30">
        <v>14</v>
      </c>
      <c r="I93" s="30">
        <v>17</v>
      </c>
      <c r="J93" s="30">
        <v>165</v>
      </c>
      <c r="K93" s="30">
        <v>98</v>
      </c>
      <c r="L93" s="30">
        <v>88</v>
      </c>
      <c r="M93" s="30">
        <v>168</v>
      </c>
      <c r="N93" s="30">
        <v>128</v>
      </c>
      <c r="O93" s="30">
        <v>199</v>
      </c>
      <c r="P93" s="30">
        <v>203</v>
      </c>
      <c r="Q93" s="30">
        <v>168</v>
      </c>
      <c r="R93" s="30">
        <v>25</v>
      </c>
      <c r="S93" s="61"/>
    </row>
    <row r="94" spans="1:21" hidden="1" x14ac:dyDescent="0.3">
      <c r="A94" s="61" t="s">
        <v>141</v>
      </c>
      <c r="B94" s="75">
        <v>95</v>
      </c>
      <c r="C94" s="30">
        <v>3</v>
      </c>
      <c r="D94" s="30">
        <v>7</v>
      </c>
      <c r="E94" s="30">
        <v>0</v>
      </c>
      <c r="F94" s="30">
        <v>4</v>
      </c>
      <c r="G94" s="30">
        <v>1</v>
      </c>
      <c r="H94" s="30">
        <v>0</v>
      </c>
      <c r="I94" s="30">
        <v>1</v>
      </c>
      <c r="J94" s="30">
        <v>1</v>
      </c>
      <c r="K94" s="30">
        <v>9</v>
      </c>
      <c r="L94" s="30">
        <v>0</v>
      </c>
      <c r="M94" s="30">
        <v>8</v>
      </c>
      <c r="N94" s="30">
        <v>4</v>
      </c>
      <c r="O94" s="30">
        <v>22</v>
      </c>
      <c r="P94" s="30">
        <v>9</v>
      </c>
      <c r="Q94" s="30">
        <v>19</v>
      </c>
      <c r="R94" s="30">
        <v>7</v>
      </c>
      <c r="S94" s="61"/>
    </row>
    <row r="95" spans="1:21" hidden="1" x14ac:dyDescent="0.3">
      <c r="A95" s="61" t="s">
        <v>142</v>
      </c>
      <c r="B95" s="75">
        <v>132</v>
      </c>
      <c r="C95" s="30">
        <v>1</v>
      </c>
      <c r="D95" s="30">
        <v>1</v>
      </c>
      <c r="E95" s="30">
        <v>1</v>
      </c>
      <c r="F95" s="30">
        <v>1</v>
      </c>
      <c r="G95" s="30">
        <v>1</v>
      </c>
      <c r="H95" s="30">
        <v>1</v>
      </c>
      <c r="I95" s="30">
        <v>1</v>
      </c>
      <c r="J95" s="30">
        <v>14</v>
      </c>
      <c r="K95" s="30">
        <v>13</v>
      </c>
      <c r="L95" s="30">
        <v>10</v>
      </c>
      <c r="M95" s="30">
        <v>12</v>
      </c>
      <c r="N95" s="30">
        <v>13</v>
      </c>
      <c r="O95" s="30">
        <v>21</v>
      </c>
      <c r="P95" s="30">
        <v>22</v>
      </c>
      <c r="Q95" s="30">
        <v>18</v>
      </c>
      <c r="R95" s="30">
        <v>2</v>
      </c>
      <c r="S95" s="61"/>
    </row>
    <row r="96" spans="1:21" hidden="1" x14ac:dyDescent="0.3">
      <c r="A96" s="61">
        <v>2004</v>
      </c>
      <c r="B96" s="75">
        <f t="shared" ref="B96:R96" si="0">SUM(B97:B99)</f>
        <v>1551</v>
      </c>
      <c r="C96" s="75">
        <f t="shared" si="0"/>
        <v>23</v>
      </c>
      <c r="D96" s="75">
        <f t="shared" si="0"/>
        <v>24</v>
      </c>
      <c r="E96" s="75">
        <f t="shared" si="0"/>
        <v>26</v>
      </c>
      <c r="F96" s="75">
        <f t="shared" si="0"/>
        <v>27</v>
      </c>
      <c r="G96" s="75">
        <f t="shared" si="0"/>
        <v>18</v>
      </c>
      <c r="H96" s="75">
        <f t="shared" si="0"/>
        <v>16</v>
      </c>
      <c r="I96" s="75">
        <f t="shared" si="0"/>
        <v>19</v>
      </c>
      <c r="J96" s="75">
        <f t="shared" si="0"/>
        <v>179</v>
      </c>
      <c r="K96" s="75">
        <f t="shared" si="0"/>
        <v>112</v>
      </c>
      <c r="L96" s="75">
        <f t="shared" si="0"/>
        <v>94</v>
      </c>
      <c r="M96" s="75">
        <f t="shared" si="0"/>
        <v>186</v>
      </c>
      <c r="N96" s="75">
        <f t="shared" si="0"/>
        <v>135</v>
      </c>
      <c r="O96" s="75">
        <f t="shared" si="0"/>
        <v>236</v>
      </c>
      <c r="P96" s="75">
        <f t="shared" si="0"/>
        <v>224</v>
      </c>
      <c r="Q96" s="75">
        <f t="shared" si="0"/>
        <v>199</v>
      </c>
      <c r="R96" s="75">
        <f t="shared" si="0"/>
        <v>33</v>
      </c>
      <c r="S96" s="61">
        <f>SUM(C96:R96)</f>
        <v>1551</v>
      </c>
    </row>
    <row r="97" spans="1:19" hidden="1" x14ac:dyDescent="0.3">
      <c r="A97" s="61" t="s">
        <v>140</v>
      </c>
      <c r="B97" s="75">
        <f>SUM(C97:R97)</f>
        <v>1327</v>
      </c>
      <c r="C97" s="30">
        <v>19</v>
      </c>
      <c r="D97" s="30">
        <v>16</v>
      </c>
      <c r="E97" s="30">
        <v>24</v>
      </c>
      <c r="F97" s="30">
        <v>21</v>
      </c>
      <c r="G97" s="30">
        <v>16</v>
      </c>
      <c r="H97" s="30">
        <v>15</v>
      </c>
      <c r="I97" s="30">
        <v>17</v>
      </c>
      <c r="J97" s="30">
        <v>165</v>
      </c>
      <c r="K97" s="30">
        <v>90</v>
      </c>
      <c r="L97" s="30">
        <v>84</v>
      </c>
      <c r="M97" s="30">
        <v>166</v>
      </c>
      <c r="N97" s="30">
        <v>118</v>
      </c>
      <c r="O97" s="30">
        <v>195</v>
      </c>
      <c r="P97" s="30">
        <v>194</v>
      </c>
      <c r="Q97" s="30">
        <v>163</v>
      </c>
      <c r="R97" s="30">
        <v>24</v>
      </c>
      <c r="S97" s="61"/>
    </row>
    <row r="98" spans="1:19" hidden="1" x14ac:dyDescent="0.3">
      <c r="A98" s="61" t="s">
        <v>141</v>
      </c>
      <c r="B98" s="75">
        <f>SUM(C98:R98)</f>
        <v>92</v>
      </c>
      <c r="C98" s="30">
        <v>3</v>
      </c>
      <c r="D98" s="30">
        <v>7</v>
      </c>
      <c r="E98" s="30">
        <v>0</v>
      </c>
      <c r="F98" s="30">
        <v>4</v>
      </c>
      <c r="G98" s="30">
        <v>1</v>
      </c>
      <c r="H98" s="30">
        <v>0</v>
      </c>
      <c r="I98" s="30">
        <v>1</v>
      </c>
      <c r="J98" s="30">
        <v>1</v>
      </c>
      <c r="K98" s="30">
        <v>9</v>
      </c>
      <c r="L98" s="30">
        <v>0</v>
      </c>
      <c r="M98" s="30">
        <v>8</v>
      </c>
      <c r="N98" s="30">
        <v>4</v>
      </c>
      <c r="O98" s="30">
        <v>20</v>
      </c>
      <c r="P98" s="30">
        <v>9</v>
      </c>
      <c r="Q98" s="30">
        <v>18</v>
      </c>
      <c r="R98" s="30">
        <v>7</v>
      </c>
      <c r="S98" s="61"/>
    </row>
    <row r="99" spans="1:19" hidden="1" x14ac:dyDescent="0.3">
      <c r="A99" s="61" t="s">
        <v>142</v>
      </c>
      <c r="B99" s="75">
        <f>SUM(C99:R99)</f>
        <v>132</v>
      </c>
      <c r="C99" s="30">
        <v>1</v>
      </c>
      <c r="D99" s="30">
        <v>1</v>
      </c>
      <c r="E99" s="30">
        <v>2</v>
      </c>
      <c r="F99" s="30">
        <v>2</v>
      </c>
      <c r="G99" s="30">
        <v>1</v>
      </c>
      <c r="H99" s="30">
        <v>1</v>
      </c>
      <c r="I99" s="30">
        <v>1</v>
      </c>
      <c r="J99" s="30">
        <v>13</v>
      </c>
      <c r="K99" s="30">
        <v>13</v>
      </c>
      <c r="L99" s="30">
        <v>10</v>
      </c>
      <c r="M99" s="30">
        <v>12</v>
      </c>
      <c r="N99" s="30">
        <v>13</v>
      </c>
      <c r="O99" s="30">
        <v>21</v>
      </c>
      <c r="P99" s="30">
        <v>21</v>
      </c>
      <c r="Q99" s="30">
        <v>18</v>
      </c>
      <c r="R99" s="30">
        <v>2</v>
      </c>
      <c r="S99" s="61"/>
    </row>
    <row r="100" spans="1:19" s="81" customFormat="1" x14ac:dyDescent="0.3">
      <c r="A100" s="78">
        <v>2007</v>
      </c>
      <c r="B100" s="79">
        <f t="shared" ref="B100:R100" si="1">SUM(B101:B103)</f>
        <v>1426</v>
      </c>
      <c r="C100" s="79">
        <f t="shared" si="1"/>
        <v>23</v>
      </c>
      <c r="D100" s="79">
        <f t="shared" si="1"/>
        <v>24</v>
      </c>
      <c r="E100" s="79">
        <f t="shared" si="1"/>
        <v>25</v>
      </c>
      <c r="F100" s="79">
        <f t="shared" si="1"/>
        <v>26</v>
      </c>
      <c r="G100" s="79">
        <f t="shared" si="1"/>
        <v>18</v>
      </c>
      <c r="H100" s="79">
        <f t="shared" si="1"/>
        <v>16</v>
      </c>
      <c r="I100" s="79">
        <f t="shared" si="1"/>
        <v>20</v>
      </c>
      <c r="J100" s="79">
        <f t="shared" si="1"/>
        <v>178</v>
      </c>
      <c r="K100" s="79">
        <f t="shared" si="1"/>
        <v>106</v>
      </c>
      <c r="L100" s="79">
        <f t="shared" si="1"/>
        <v>83</v>
      </c>
      <c r="M100" s="79">
        <f t="shared" si="1"/>
        <v>171</v>
      </c>
      <c r="N100" s="79">
        <f t="shared" si="1"/>
        <v>117</v>
      </c>
      <c r="O100" s="79">
        <f t="shared" si="1"/>
        <v>200</v>
      </c>
      <c r="P100" s="79">
        <f t="shared" si="1"/>
        <v>203</v>
      </c>
      <c r="Q100" s="79">
        <f t="shared" si="1"/>
        <v>182</v>
      </c>
      <c r="R100" s="79">
        <f t="shared" si="1"/>
        <v>34</v>
      </c>
      <c r="S100" s="80">
        <f>SUM(C100:R100)</f>
        <v>1426</v>
      </c>
    </row>
    <row r="101" spans="1:19" x14ac:dyDescent="0.3">
      <c r="A101" s="61" t="s">
        <v>140</v>
      </c>
      <c r="B101" s="75">
        <f>SUM(C101:R101)</f>
        <v>1193</v>
      </c>
      <c r="C101" s="30">
        <v>19</v>
      </c>
      <c r="D101" s="30">
        <v>16</v>
      </c>
      <c r="E101" s="30">
        <v>24</v>
      </c>
      <c r="F101" s="30">
        <v>21</v>
      </c>
      <c r="G101" s="30">
        <v>16</v>
      </c>
      <c r="H101" s="30">
        <v>15</v>
      </c>
      <c r="I101" s="30">
        <v>17</v>
      </c>
      <c r="J101" s="30">
        <v>162</v>
      </c>
      <c r="K101" s="30">
        <v>84</v>
      </c>
      <c r="L101" s="30">
        <v>73</v>
      </c>
      <c r="M101" s="30">
        <v>151</v>
      </c>
      <c r="N101" s="30">
        <v>100</v>
      </c>
      <c r="O101" s="30">
        <v>156</v>
      </c>
      <c r="P101" s="30">
        <v>172</v>
      </c>
      <c r="Q101" s="30">
        <v>144</v>
      </c>
      <c r="R101" s="30">
        <v>23</v>
      </c>
      <c r="S101" s="61"/>
    </row>
    <row r="102" spans="1:19" x14ac:dyDescent="0.3">
      <c r="A102" s="61" t="s">
        <v>141</v>
      </c>
      <c r="B102" s="75">
        <f>SUM(C102:R102)</f>
        <v>101</v>
      </c>
      <c r="C102" s="30">
        <v>3</v>
      </c>
      <c r="D102" s="30">
        <v>7</v>
      </c>
      <c r="E102" s="30">
        <v>0</v>
      </c>
      <c r="F102" s="30">
        <v>4</v>
      </c>
      <c r="G102" s="30">
        <v>1</v>
      </c>
      <c r="H102" s="30">
        <v>0</v>
      </c>
      <c r="I102" s="30">
        <v>2</v>
      </c>
      <c r="J102" s="30">
        <v>2</v>
      </c>
      <c r="K102" s="30">
        <v>9</v>
      </c>
      <c r="L102" s="30">
        <v>0</v>
      </c>
      <c r="M102" s="30">
        <v>8</v>
      </c>
      <c r="N102" s="30">
        <v>4</v>
      </c>
      <c r="O102" s="30">
        <v>23</v>
      </c>
      <c r="P102" s="30">
        <v>9</v>
      </c>
      <c r="Q102" s="30">
        <v>20</v>
      </c>
      <c r="R102" s="30">
        <v>9</v>
      </c>
      <c r="S102" s="61"/>
    </row>
    <row r="103" spans="1:19" x14ac:dyDescent="0.3">
      <c r="A103" s="77" t="s">
        <v>150</v>
      </c>
      <c r="B103" s="75">
        <f>SUM(C103:R103)</f>
        <v>132</v>
      </c>
      <c r="C103" s="30">
        <v>1</v>
      </c>
      <c r="D103" s="30">
        <v>1</v>
      </c>
      <c r="E103" s="30">
        <v>1</v>
      </c>
      <c r="F103" s="30">
        <v>1</v>
      </c>
      <c r="G103" s="30">
        <v>1</v>
      </c>
      <c r="H103" s="30">
        <v>1</v>
      </c>
      <c r="I103" s="30">
        <v>1</v>
      </c>
      <c r="J103" s="30">
        <v>14</v>
      </c>
      <c r="K103" s="30">
        <v>13</v>
      </c>
      <c r="L103" s="30">
        <v>10</v>
      </c>
      <c r="M103" s="30">
        <v>12</v>
      </c>
      <c r="N103" s="30">
        <v>13</v>
      </c>
      <c r="O103" s="30">
        <v>21</v>
      </c>
      <c r="P103" s="30">
        <v>22</v>
      </c>
      <c r="Q103" s="30">
        <v>18</v>
      </c>
      <c r="R103" s="30">
        <v>2</v>
      </c>
      <c r="S103" s="61"/>
    </row>
    <row r="105" spans="1:19" x14ac:dyDescent="0.3">
      <c r="N105" s="4">
        <f>SUM(N106:N108)</f>
        <v>314</v>
      </c>
      <c r="O105" s="5">
        <f>N105-N100</f>
        <v>197</v>
      </c>
    </row>
    <row r="106" spans="1:19" x14ac:dyDescent="0.3">
      <c r="N106" s="82">
        <v>280</v>
      </c>
    </row>
    <row r="107" spans="1:19" x14ac:dyDescent="0.3">
      <c r="N107" s="82">
        <v>21</v>
      </c>
    </row>
    <row r="108" spans="1:19" x14ac:dyDescent="0.3">
      <c r="N108" s="82">
        <v>13</v>
      </c>
    </row>
  </sheetData>
  <mergeCells count="11">
    <mergeCell ref="A1:S1"/>
    <mergeCell ref="A4:I4"/>
    <mergeCell ref="J4:S4"/>
    <mergeCell ref="A20:I20"/>
    <mergeCell ref="J20:S20"/>
    <mergeCell ref="A36:I36"/>
    <mergeCell ref="A68:I68"/>
    <mergeCell ref="J68:S68"/>
    <mergeCell ref="A52:I52"/>
    <mergeCell ref="J52:S52"/>
    <mergeCell ref="J36:S36"/>
  </mergeCells>
  <phoneticPr fontId="2" type="noConversion"/>
  <printOptions verticalCentered="1"/>
  <pageMargins left="1.3385826771653544" right="0.15748031496062992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5"/>
  </sheetPr>
  <dimension ref="A1:AI119"/>
  <sheetViews>
    <sheetView zoomScaleNormal="100" workbookViewId="0">
      <pane xSplit="1" ySplit="4" topLeftCell="B58" activePane="bottomRight" state="frozen"/>
      <selection sqref="A1:IV65536"/>
      <selection pane="topRight" sqref="A1:IV65536"/>
      <selection pane="bottomLeft" sqref="A1:IV65536"/>
      <selection pane="bottomRight" sqref="A1:IV65536"/>
    </sheetView>
  </sheetViews>
  <sheetFormatPr defaultColWidth="8.86328125" defaultRowHeight="11.6" x14ac:dyDescent="0.3"/>
  <cols>
    <col min="1" max="1" width="7.33203125" style="1" customWidth="1"/>
    <col min="2" max="2" width="8.19921875" style="2" customWidth="1"/>
    <col min="3" max="3" width="8.796875" style="2" customWidth="1"/>
    <col min="4" max="4" width="8" style="2" customWidth="1"/>
    <col min="5" max="9" width="7.796875" style="2" customWidth="1"/>
    <col min="10" max="18" width="7.33203125" style="2" customWidth="1"/>
    <col min="19" max="19" width="7.33203125" style="1" customWidth="1"/>
    <col min="20" max="21" width="8.86328125" style="2"/>
    <col min="22" max="22" width="5.796875" style="2" customWidth="1"/>
    <col min="23" max="16384" width="8.86328125" style="2"/>
  </cols>
  <sheetData>
    <row r="1" spans="1:35" ht="18.45" x14ac:dyDescent="0.3">
      <c r="A1" s="135" t="s">
        <v>85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x14ac:dyDescent="0.3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6"/>
    </row>
    <row r="3" spans="1:35" ht="15" customHeight="1" x14ac:dyDescent="0.3">
      <c r="A3" s="8" t="s">
        <v>86</v>
      </c>
      <c r="B3" s="9" t="s">
        <v>87</v>
      </c>
      <c r="C3" s="9" t="s">
        <v>88</v>
      </c>
      <c r="D3" s="9" t="s">
        <v>89</v>
      </c>
      <c r="E3" s="9" t="s">
        <v>90</v>
      </c>
      <c r="F3" s="9" t="s">
        <v>91</v>
      </c>
      <c r="G3" s="9" t="s">
        <v>92</v>
      </c>
      <c r="H3" s="9" t="s">
        <v>93</v>
      </c>
      <c r="I3" s="9" t="s">
        <v>94</v>
      </c>
      <c r="J3" s="9" t="s">
        <v>95</v>
      </c>
      <c r="K3" s="9" t="s">
        <v>96</v>
      </c>
      <c r="L3" s="9" t="s">
        <v>97</v>
      </c>
      <c r="M3" s="9" t="s">
        <v>98</v>
      </c>
      <c r="N3" s="9" t="s">
        <v>99</v>
      </c>
      <c r="O3" s="9" t="s">
        <v>100</v>
      </c>
      <c r="P3" s="9" t="s">
        <v>101</v>
      </c>
      <c r="Q3" s="9" t="s">
        <v>102</v>
      </c>
      <c r="R3" s="9" t="s">
        <v>103</v>
      </c>
      <c r="S3" s="10" t="s">
        <v>104</v>
      </c>
    </row>
    <row r="4" spans="1:35" ht="16.5" customHeight="1" x14ac:dyDescent="0.3">
      <c r="A4" s="133" t="s">
        <v>105</v>
      </c>
      <c r="B4" s="133"/>
      <c r="C4" s="133"/>
      <c r="D4" s="133"/>
      <c r="E4" s="133"/>
      <c r="F4" s="133"/>
      <c r="G4" s="133"/>
      <c r="H4" s="133"/>
      <c r="I4" s="133"/>
      <c r="J4" s="136" t="s">
        <v>106</v>
      </c>
      <c r="K4" s="136"/>
      <c r="L4" s="136"/>
      <c r="M4" s="136"/>
      <c r="N4" s="136"/>
      <c r="O4" s="136"/>
      <c r="P4" s="136"/>
      <c r="Q4" s="136"/>
      <c r="R4" s="136"/>
      <c r="S4" s="136"/>
    </row>
    <row r="5" spans="1:35" ht="10.5" hidden="1" customHeight="1" x14ac:dyDescent="0.3">
      <c r="A5" s="11">
        <v>1995</v>
      </c>
      <c r="B5" s="12">
        <f>4557+55</f>
        <v>4612</v>
      </c>
      <c r="C5" s="12">
        <f>1793+52</f>
        <v>1845</v>
      </c>
      <c r="D5" s="12">
        <f>405+3</f>
        <v>408</v>
      </c>
      <c r="E5" s="12">
        <v>285</v>
      </c>
      <c r="F5" s="12">
        <v>178</v>
      </c>
      <c r="G5" s="12">
        <v>132</v>
      </c>
      <c r="H5" s="12">
        <v>130</v>
      </c>
      <c r="I5" s="12" t="s">
        <v>19</v>
      </c>
      <c r="J5" s="12">
        <v>599</v>
      </c>
      <c r="K5" s="12">
        <v>88</v>
      </c>
      <c r="L5" s="12">
        <v>90</v>
      </c>
      <c r="M5" s="12">
        <v>88</v>
      </c>
      <c r="N5" s="12">
        <v>134</v>
      </c>
      <c r="O5" s="12">
        <v>110</v>
      </c>
      <c r="P5" s="12">
        <v>153</v>
      </c>
      <c r="Q5" s="12">
        <v>315</v>
      </c>
      <c r="R5" s="12">
        <v>57</v>
      </c>
      <c r="S5" s="13">
        <v>1995</v>
      </c>
      <c r="T5" s="33"/>
      <c r="V5" s="43"/>
      <c r="W5" s="33"/>
      <c r="X5" s="46"/>
    </row>
    <row r="6" spans="1:35" ht="10.5" hidden="1" customHeight="1" x14ac:dyDescent="0.3">
      <c r="A6" s="11">
        <v>1996</v>
      </c>
      <c r="B6" s="12">
        <f>5105+51</f>
        <v>5156</v>
      </c>
      <c r="C6" s="12">
        <f>1955+48</f>
        <v>2003</v>
      </c>
      <c r="D6" s="12">
        <f>457+3</f>
        <v>460</v>
      </c>
      <c r="E6" s="12">
        <v>315</v>
      </c>
      <c r="F6" s="12">
        <v>201</v>
      </c>
      <c r="G6" s="12">
        <v>149</v>
      </c>
      <c r="H6" s="12">
        <v>151</v>
      </c>
      <c r="I6" s="12" t="s">
        <v>19</v>
      </c>
      <c r="J6" s="12">
        <v>731</v>
      </c>
      <c r="K6" s="12">
        <v>101</v>
      </c>
      <c r="L6" s="12">
        <v>107</v>
      </c>
      <c r="M6" s="12">
        <v>95</v>
      </c>
      <c r="N6" s="12">
        <v>150</v>
      </c>
      <c r="O6" s="12">
        <v>121</v>
      </c>
      <c r="P6" s="12">
        <v>161</v>
      </c>
      <c r="Q6" s="12">
        <v>351</v>
      </c>
      <c r="R6" s="12">
        <v>60</v>
      </c>
      <c r="S6" s="13">
        <v>1996</v>
      </c>
      <c r="T6" s="33"/>
      <c r="V6" s="43"/>
      <c r="W6" s="33"/>
      <c r="X6" s="46"/>
    </row>
    <row r="7" spans="1:35" ht="10.5" hidden="1" customHeight="1" x14ac:dyDescent="0.3">
      <c r="A7" s="11">
        <v>1997</v>
      </c>
      <c r="B7" s="12">
        <f>5988+56</f>
        <v>6044</v>
      </c>
      <c r="C7" s="12">
        <f>2244+53</f>
        <v>2297</v>
      </c>
      <c r="D7" s="12">
        <f>527+3</f>
        <v>530</v>
      </c>
      <c r="E7" s="12">
        <v>352</v>
      </c>
      <c r="F7" s="12">
        <v>256</v>
      </c>
      <c r="G7" s="12">
        <v>175</v>
      </c>
      <c r="H7" s="12">
        <v>183</v>
      </c>
      <c r="I7" s="12">
        <v>119</v>
      </c>
      <c r="J7" s="12">
        <v>913</v>
      </c>
      <c r="K7" s="12">
        <v>117</v>
      </c>
      <c r="L7" s="12">
        <v>133</v>
      </c>
      <c r="M7" s="12">
        <v>119</v>
      </c>
      <c r="N7" s="12">
        <v>176</v>
      </c>
      <c r="O7" s="12">
        <v>133</v>
      </c>
      <c r="P7" s="12">
        <v>192</v>
      </c>
      <c r="Q7" s="12">
        <v>280</v>
      </c>
      <c r="R7" s="12">
        <v>69</v>
      </c>
      <c r="S7" s="13">
        <v>1997</v>
      </c>
      <c r="T7" s="33"/>
      <c r="V7" s="43"/>
      <c r="W7" s="33"/>
      <c r="X7" s="46"/>
    </row>
    <row r="8" spans="1:35" s="4" customFormat="1" ht="10.5" hidden="1" customHeight="1" x14ac:dyDescent="0.3">
      <c r="A8" s="14">
        <v>1998</v>
      </c>
      <c r="B8" s="12">
        <f>5103+55</f>
        <v>5158</v>
      </c>
      <c r="C8" s="12">
        <f>2005+52</f>
        <v>2057</v>
      </c>
      <c r="D8" s="12">
        <f>463+3</f>
        <v>466</v>
      </c>
      <c r="E8" s="12">
        <v>291</v>
      </c>
      <c r="F8" s="12">
        <v>203</v>
      </c>
      <c r="G8" s="12">
        <v>158</v>
      </c>
      <c r="H8" s="12">
        <v>136</v>
      </c>
      <c r="I8" s="12">
        <v>95</v>
      </c>
      <c r="J8" s="12">
        <v>732</v>
      </c>
      <c r="K8" s="12">
        <v>107</v>
      </c>
      <c r="L8" s="12">
        <v>116</v>
      </c>
      <c r="M8" s="12">
        <v>86</v>
      </c>
      <c r="N8" s="12">
        <v>145</v>
      </c>
      <c r="O8" s="12">
        <v>119</v>
      </c>
      <c r="P8" s="12">
        <v>149</v>
      </c>
      <c r="Q8" s="12">
        <v>235</v>
      </c>
      <c r="R8" s="12">
        <v>63</v>
      </c>
      <c r="S8" s="16">
        <v>1998</v>
      </c>
      <c r="T8" s="33"/>
      <c r="U8" s="5"/>
      <c r="V8" s="44"/>
      <c r="W8" s="5"/>
      <c r="X8" s="47"/>
    </row>
    <row r="9" spans="1:35" s="4" customFormat="1" ht="10.5" hidden="1" customHeight="1" x14ac:dyDescent="0.3">
      <c r="A9" s="14">
        <v>1999</v>
      </c>
      <c r="B9" s="12">
        <f>4853+51</f>
        <v>4904</v>
      </c>
      <c r="C9" s="12">
        <f>1957+48</f>
        <v>2005</v>
      </c>
      <c r="D9" s="12">
        <f>431+3</f>
        <v>434</v>
      </c>
      <c r="E9" s="12">
        <v>280</v>
      </c>
      <c r="F9" s="12">
        <v>187</v>
      </c>
      <c r="G9" s="12">
        <v>152</v>
      </c>
      <c r="H9" s="12">
        <v>136</v>
      </c>
      <c r="I9" s="12">
        <v>89</v>
      </c>
      <c r="J9" s="12">
        <v>687</v>
      </c>
      <c r="K9" s="12">
        <v>85</v>
      </c>
      <c r="L9" s="12">
        <v>94</v>
      </c>
      <c r="M9" s="12">
        <v>87</v>
      </c>
      <c r="N9" s="12">
        <v>135</v>
      </c>
      <c r="O9" s="12">
        <v>112</v>
      </c>
      <c r="P9" s="12">
        <v>143</v>
      </c>
      <c r="Q9" s="12">
        <v>223</v>
      </c>
      <c r="R9" s="12">
        <v>55</v>
      </c>
      <c r="S9" s="16">
        <v>1999</v>
      </c>
      <c r="T9" s="33"/>
      <c r="U9" s="5"/>
      <c r="V9" s="44"/>
      <c r="W9" s="5"/>
      <c r="X9" s="47"/>
    </row>
    <row r="10" spans="1:35" s="4" customFormat="1" ht="10.5" customHeight="1" x14ac:dyDescent="0.3">
      <c r="A10" s="14">
        <v>2000</v>
      </c>
      <c r="B10" s="12">
        <f>4787+51</f>
        <v>4838</v>
      </c>
      <c r="C10" s="12">
        <f>1928+47</f>
        <v>1975</v>
      </c>
      <c r="D10" s="12">
        <f>424+3</f>
        <v>427</v>
      </c>
      <c r="E10" s="12">
        <v>276</v>
      </c>
      <c r="F10" s="12">
        <v>184</v>
      </c>
      <c r="G10" s="12">
        <v>142</v>
      </c>
      <c r="H10" s="12">
        <v>139</v>
      </c>
      <c r="I10" s="12">
        <v>89</v>
      </c>
      <c r="J10" s="12">
        <f>690+1</f>
        <v>691</v>
      </c>
      <c r="K10" s="12">
        <v>83</v>
      </c>
      <c r="L10" s="12">
        <v>88</v>
      </c>
      <c r="M10" s="12">
        <v>87</v>
      </c>
      <c r="N10" s="12">
        <v>137</v>
      </c>
      <c r="O10" s="12">
        <v>105</v>
      </c>
      <c r="P10" s="12">
        <v>142</v>
      </c>
      <c r="Q10" s="12">
        <v>220</v>
      </c>
      <c r="R10" s="12">
        <v>53</v>
      </c>
      <c r="S10" s="16">
        <v>2000</v>
      </c>
      <c r="T10" s="33"/>
      <c r="U10" s="5"/>
      <c r="V10" s="44"/>
      <c r="W10" s="5"/>
      <c r="X10" s="47"/>
    </row>
    <row r="11" spans="1:35" s="4" customFormat="1" ht="10.5" customHeight="1" x14ac:dyDescent="0.3">
      <c r="A11" s="14">
        <v>2001</v>
      </c>
      <c r="B11" s="12">
        <f>4762+50</f>
        <v>4812</v>
      </c>
      <c r="C11" s="12">
        <f>1922+46</f>
        <v>1968</v>
      </c>
      <c r="D11" s="12">
        <f>431+3</f>
        <v>434</v>
      </c>
      <c r="E11" s="12">
        <v>267</v>
      </c>
      <c r="F11" s="12">
        <v>184</v>
      </c>
      <c r="G11" s="12">
        <v>143</v>
      </c>
      <c r="H11" s="12">
        <v>135</v>
      </c>
      <c r="I11" s="12">
        <v>84</v>
      </c>
      <c r="J11" s="12">
        <f>709+1</f>
        <v>710</v>
      </c>
      <c r="K11" s="12">
        <v>82</v>
      </c>
      <c r="L11" s="12">
        <v>80</v>
      </c>
      <c r="M11" s="12">
        <v>90</v>
      </c>
      <c r="N11" s="12">
        <v>133</v>
      </c>
      <c r="O11" s="12">
        <v>99</v>
      </c>
      <c r="P11" s="12">
        <v>144</v>
      </c>
      <c r="Q11" s="12">
        <v>207</v>
      </c>
      <c r="R11" s="12">
        <v>52</v>
      </c>
      <c r="S11" s="16">
        <v>2001</v>
      </c>
      <c r="T11" s="33"/>
      <c r="U11" s="5"/>
      <c r="V11" s="44"/>
      <c r="W11" s="5"/>
      <c r="X11" s="47"/>
    </row>
    <row r="12" spans="1:35" s="4" customFormat="1" ht="10.5" customHeight="1" x14ac:dyDescent="0.3">
      <c r="A12" s="14">
        <v>2002</v>
      </c>
      <c r="B12" s="12">
        <f>4947+50</f>
        <v>4997</v>
      </c>
      <c r="C12" s="15">
        <f>2011+46</f>
        <v>2057</v>
      </c>
      <c r="D12" s="15">
        <f>441+3</f>
        <v>444</v>
      </c>
      <c r="E12" s="15">
        <v>281</v>
      </c>
      <c r="F12" s="15">
        <v>192</v>
      </c>
      <c r="G12" s="15">
        <v>151</v>
      </c>
      <c r="H12" s="15">
        <v>144</v>
      </c>
      <c r="I12" s="15">
        <v>89</v>
      </c>
      <c r="J12" s="15">
        <f>752+1</f>
        <v>753</v>
      </c>
      <c r="K12" s="15">
        <v>80</v>
      </c>
      <c r="L12" s="15">
        <v>82</v>
      </c>
      <c r="M12" s="15">
        <v>88</v>
      </c>
      <c r="N12" s="15">
        <v>136</v>
      </c>
      <c r="O12" s="15">
        <v>93</v>
      </c>
      <c r="P12" s="15">
        <v>144</v>
      </c>
      <c r="Q12" s="15">
        <v>207</v>
      </c>
      <c r="R12" s="15">
        <v>56</v>
      </c>
      <c r="S12" s="16">
        <v>2002</v>
      </c>
      <c r="T12" s="33"/>
      <c r="U12" s="5"/>
      <c r="V12" s="44"/>
      <c r="W12" s="5"/>
      <c r="X12" s="47"/>
    </row>
    <row r="13" spans="1:35" s="4" customFormat="1" ht="4.5" customHeight="1" x14ac:dyDescent="0.3">
      <c r="A13" s="14" t="s">
        <v>1</v>
      </c>
      <c r="B13" s="15" t="s">
        <v>2</v>
      </c>
      <c r="C13" s="15" t="s">
        <v>3</v>
      </c>
      <c r="D13" s="15" t="s">
        <v>3</v>
      </c>
      <c r="E13" s="15" t="s">
        <v>3</v>
      </c>
      <c r="F13" s="15" t="s">
        <v>3</v>
      </c>
      <c r="G13" s="15" t="s">
        <v>3</v>
      </c>
      <c r="H13" s="15" t="s">
        <v>3</v>
      </c>
      <c r="I13" s="15" t="s">
        <v>3</v>
      </c>
      <c r="J13" s="15" t="s">
        <v>0</v>
      </c>
      <c r="K13" s="15" t="s">
        <v>0</v>
      </c>
      <c r="L13" s="15" t="s">
        <v>0</v>
      </c>
      <c r="M13" s="15" t="s">
        <v>0</v>
      </c>
      <c r="N13" s="15" t="s">
        <v>0</v>
      </c>
      <c r="O13" s="15" t="s">
        <v>0</v>
      </c>
      <c r="P13" s="15" t="s">
        <v>0</v>
      </c>
      <c r="Q13" s="15" t="s">
        <v>0</v>
      </c>
      <c r="R13" s="15" t="s">
        <v>0</v>
      </c>
      <c r="S13" s="16"/>
      <c r="T13" s="33"/>
      <c r="U13" s="5"/>
      <c r="V13" s="44"/>
      <c r="W13" s="5"/>
      <c r="X13" s="47"/>
    </row>
    <row r="14" spans="1:35" s="4" customFormat="1" ht="10.5" customHeight="1" x14ac:dyDescent="0.3">
      <c r="A14" s="14">
        <v>2003</v>
      </c>
      <c r="B14" s="12">
        <f>5004+50</f>
        <v>5054</v>
      </c>
      <c r="C14" s="15">
        <f>2003+45</f>
        <v>2048</v>
      </c>
      <c r="D14" s="15">
        <f>455+3</f>
        <v>458</v>
      </c>
      <c r="E14" s="15">
        <v>279</v>
      </c>
      <c r="F14" s="15">
        <v>192</v>
      </c>
      <c r="G14" s="15">
        <v>150</v>
      </c>
      <c r="H14" s="15">
        <v>142</v>
      </c>
      <c r="I14" s="15">
        <v>90</v>
      </c>
      <c r="J14" s="15">
        <f>808+2</f>
        <v>810</v>
      </c>
      <c r="K14" s="15">
        <v>74</v>
      </c>
      <c r="L14" s="15">
        <v>79</v>
      </c>
      <c r="M14" s="15">
        <v>86</v>
      </c>
      <c r="N14" s="15">
        <v>136</v>
      </c>
      <c r="O14" s="15">
        <v>94</v>
      </c>
      <c r="P14" s="15">
        <v>142</v>
      </c>
      <c r="Q14" s="15">
        <v>219</v>
      </c>
      <c r="R14" s="15">
        <v>55</v>
      </c>
      <c r="S14" s="16">
        <v>2003</v>
      </c>
      <c r="T14" s="33"/>
      <c r="U14" s="5"/>
      <c r="V14" s="44"/>
      <c r="W14" s="5"/>
      <c r="X14" s="47"/>
    </row>
    <row r="15" spans="1:35" s="30" customFormat="1" ht="10.5" customHeight="1" x14ac:dyDescent="0.3">
      <c r="A15" s="17">
        <v>2004</v>
      </c>
      <c r="B15" s="15">
        <f>4993+47</f>
        <v>5040</v>
      </c>
      <c r="C15" s="15">
        <f>2016+42</f>
        <v>2058</v>
      </c>
      <c r="D15" s="15">
        <f>454+3</f>
        <v>457</v>
      </c>
      <c r="E15" s="15">
        <v>272</v>
      </c>
      <c r="F15" s="15">
        <v>196</v>
      </c>
      <c r="G15" s="15">
        <v>150</v>
      </c>
      <c r="H15" s="15">
        <v>143</v>
      </c>
      <c r="I15" s="15">
        <v>87</v>
      </c>
      <c r="J15" s="15">
        <f>822+2</f>
        <v>824</v>
      </c>
      <c r="K15" s="15">
        <v>69</v>
      </c>
      <c r="L15" s="15">
        <v>70</v>
      </c>
      <c r="M15" s="15">
        <v>88</v>
      </c>
      <c r="N15" s="15">
        <v>132</v>
      </c>
      <c r="O15" s="15">
        <v>91</v>
      </c>
      <c r="P15" s="15">
        <v>143</v>
      </c>
      <c r="Q15" s="15">
        <v>208</v>
      </c>
      <c r="R15" s="15">
        <v>52</v>
      </c>
      <c r="S15" s="17">
        <v>2004</v>
      </c>
      <c r="T15" s="33"/>
      <c r="U15" s="5"/>
      <c r="V15" s="45"/>
    </row>
    <row r="16" spans="1:35" s="30" customFormat="1" ht="10.5" customHeight="1" x14ac:dyDescent="0.3">
      <c r="A16" s="17">
        <v>2005</v>
      </c>
      <c r="B16" s="15">
        <f>5095-18+51</f>
        <v>5128</v>
      </c>
      <c r="C16" s="15">
        <f>2049-10+43</f>
        <v>2082</v>
      </c>
      <c r="D16" s="15">
        <f>454-3+3</f>
        <v>454</v>
      </c>
      <c r="E16" s="15">
        <f>276-1+1</f>
        <v>276</v>
      </c>
      <c r="F16" s="15">
        <f>205-1+1</f>
        <v>205</v>
      </c>
      <c r="G16" s="15">
        <v>147</v>
      </c>
      <c r="H16" s="15">
        <f>142-1+1</f>
        <v>142</v>
      </c>
      <c r="I16" s="15">
        <v>91</v>
      </c>
      <c r="J16" s="15">
        <f>864-2+2</f>
        <v>864</v>
      </c>
      <c r="K16" s="15">
        <v>70</v>
      </c>
      <c r="L16" s="15">
        <v>70</v>
      </c>
      <c r="M16" s="15">
        <v>91</v>
      </c>
      <c r="N16" s="15">
        <v>133</v>
      </c>
      <c r="O16" s="15">
        <v>92</v>
      </c>
      <c r="P16" s="15">
        <v>146</v>
      </c>
      <c r="Q16" s="15">
        <v>213</v>
      </c>
      <c r="R16" s="15">
        <v>52</v>
      </c>
      <c r="S16" s="17">
        <v>2005</v>
      </c>
      <c r="T16" s="33"/>
      <c r="U16" s="33"/>
      <c r="V16" s="45"/>
    </row>
    <row r="17" spans="1:22" s="53" customFormat="1" ht="10.5" customHeight="1" x14ac:dyDescent="0.3">
      <c r="A17" s="48">
        <v>2006</v>
      </c>
      <c r="B17" s="50">
        <f>5095-18+51</f>
        <v>5128</v>
      </c>
      <c r="C17" s="50">
        <f>2049-10+43</f>
        <v>2082</v>
      </c>
      <c r="D17" s="50">
        <f>454-3+3</f>
        <v>454</v>
      </c>
      <c r="E17" s="50">
        <f>276-1+1</f>
        <v>276</v>
      </c>
      <c r="F17" s="50">
        <f>205-1+1</f>
        <v>205</v>
      </c>
      <c r="G17" s="50">
        <v>147</v>
      </c>
      <c r="H17" s="50">
        <f>142-1+1</f>
        <v>142</v>
      </c>
      <c r="I17" s="50">
        <v>91</v>
      </c>
      <c r="J17" s="50">
        <f>864-2+2</f>
        <v>864</v>
      </c>
      <c r="K17" s="50">
        <v>70</v>
      </c>
      <c r="L17" s="50">
        <v>70</v>
      </c>
      <c r="M17" s="50">
        <v>91</v>
      </c>
      <c r="N17" s="50">
        <v>133</v>
      </c>
      <c r="O17" s="50">
        <v>92</v>
      </c>
      <c r="P17" s="50">
        <v>146</v>
      </c>
      <c r="Q17" s="50">
        <v>213</v>
      </c>
      <c r="R17" s="50">
        <v>52</v>
      </c>
      <c r="S17" s="48">
        <v>2006</v>
      </c>
      <c r="T17" s="51"/>
      <c r="U17" s="51"/>
      <c r="V17" s="52"/>
    </row>
    <row r="18" spans="1:22" ht="16.5" customHeight="1" x14ac:dyDescent="0.3">
      <c r="A18" s="133" t="s">
        <v>107</v>
      </c>
      <c r="B18" s="133"/>
      <c r="C18" s="133"/>
      <c r="D18" s="133"/>
      <c r="E18" s="133"/>
      <c r="F18" s="133"/>
      <c r="G18" s="133"/>
      <c r="H18" s="133"/>
      <c r="I18" s="133"/>
      <c r="J18" s="136" t="s">
        <v>107</v>
      </c>
      <c r="K18" s="136"/>
      <c r="L18" s="136"/>
      <c r="M18" s="136"/>
      <c r="N18" s="136"/>
      <c r="O18" s="136"/>
      <c r="P18" s="136"/>
      <c r="Q18" s="136"/>
      <c r="R18" s="136"/>
      <c r="S18" s="136"/>
      <c r="U18" s="33"/>
    </row>
    <row r="19" spans="1:22" ht="10.5" hidden="1" customHeight="1" x14ac:dyDescent="0.3">
      <c r="A19" s="11">
        <v>1994</v>
      </c>
      <c r="B19" s="12">
        <v>2137</v>
      </c>
      <c r="C19" s="12">
        <v>695</v>
      </c>
      <c r="D19" s="12">
        <v>132</v>
      </c>
      <c r="E19" s="12">
        <v>86</v>
      </c>
      <c r="F19" s="12">
        <v>75</v>
      </c>
      <c r="G19" s="12">
        <v>55</v>
      </c>
      <c r="H19" s="12">
        <v>54</v>
      </c>
      <c r="I19" s="12" t="s">
        <v>19</v>
      </c>
      <c r="J19" s="12">
        <v>319</v>
      </c>
      <c r="K19" s="12">
        <v>87</v>
      </c>
      <c r="L19" s="12">
        <v>64</v>
      </c>
      <c r="M19" s="12">
        <v>85</v>
      </c>
      <c r="N19" s="12">
        <v>72</v>
      </c>
      <c r="O19" s="12">
        <v>95</v>
      </c>
      <c r="P19" s="12">
        <v>125</v>
      </c>
      <c r="Q19" s="12">
        <v>167</v>
      </c>
      <c r="R19" s="12">
        <v>26</v>
      </c>
      <c r="S19" s="13">
        <v>1994</v>
      </c>
      <c r="U19" s="33"/>
    </row>
    <row r="20" spans="1:22" ht="10.5" hidden="1" customHeight="1" x14ac:dyDescent="0.3">
      <c r="A20" s="11">
        <v>1995</v>
      </c>
      <c r="B20" s="12">
        <v>1794</v>
      </c>
      <c r="C20" s="12">
        <v>510</v>
      </c>
      <c r="D20" s="12">
        <v>113</v>
      </c>
      <c r="E20" s="12">
        <v>78</v>
      </c>
      <c r="F20" s="12">
        <v>68</v>
      </c>
      <c r="G20" s="12">
        <v>49</v>
      </c>
      <c r="H20" s="12">
        <v>49</v>
      </c>
      <c r="I20" s="12" t="s">
        <v>19</v>
      </c>
      <c r="J20" s="12">
        <v>287</v>
      </c>
      <c r="K20" s="12">
        <v>77</v>
      </c>
      <c r="L20" s="12">
        <v>55</v>
      </c>
      <c r="M20" s="12">
        <v>72</v>
      </c>
      <c r="N20" s="12">
        <v>69</v>
      </c>
      <c r="O20" s="12">
        <v>91</v>
      </c>
      <c r="P20" s="12">
        <v>104</v>
      </c>
      <c r="Q20" s="12">
        <v>146</v>
      </c>
      <c r="R20" s="12">
        <v>26</v>
      </c>
      <c r="S20" s="13">
        <v>1995</v>
      </c>
      <c r="U20" s="33"/>
    </row>
    <row r="21" spans="1:22" ht="10.5" hidden="1" customHeight="1" x14ac:dyDescent="0.3">
      <c r="A21" s="11">
        <v>1996</v>
      </c>
      <c r="B21" s="12">
        <v>1930</v>
      </c>
      <c r="C21" s="12">
        <v>533</v>
      </c>
      <c r="D21" s="12">
        <v>122</v>
      </c>
      <c r="E21" s="12">
        <v>86</v>
      </c>
      <c r="F21" s="12">
        <v>76</v>
      </c>
      <c r="G21" s="12">
        <v>54</v>
      </c>
      <c r="H21" s="12">
        <v>57</v>
      </c>
      <c r="I21" s="12" t="s">
        <v>19</v>
      </c>
      <c r="J21" s="12">
        <v>320</v>
      </c>
      <c r="K21" s="12">
        <v>81</v>
      </c>
      <c r="L21" s="12">
        <v>60</v>
      </c>
      <c r="M21" s="12">
        <v>77</v>
      </c>
      <c r="N21" s="12">
        <v>77</v>
      </c>
      <c r="O21" s="12">
        <v>95</v>
      </c>
      <c r="P21" s="12">
        <v>111</v>
      </c>
      <c r="Q21" s="12">
        <v>153</v>
      </c>
      <c r="R21" s="12">
        <v>28</v>
      </c>
      <c r="S21" s="13">
        <v>1996</v>
      </c>
      <c r="U21" s="33"/>
    </row>
    <row r="22" spans="1:22" ht="10.5" hidden="1" customHeight="1" x14ac:dyDescent="0.3">
      <c r="A22" s="11">
        <v>1997</v>
      </c>
      <c r="B22" s="12">
        <v>1558</v>
      </c>
      <c r="C22" s="12">
        <v>394</v>
      </c>
      <c r="D22" s="12">
        <v>99</v>
      </c>
      <c r="E22" s="12">
        <v>69</v>
      </c>
      <c r="F22" s="12">
        <v>60</v>
      </c>
      <c r="G22" s="12">
        <v>41</v>
      </c>
      <c r="H22" s="12">
        <v>42</v>
      </c>
      <c r="I22" s="12">
        <v>27</v>
      </c>
      <c r="J22" s="12">
        <v>250</v>
      </c>
      <c r="K22" s="12">
        <v>76</v>
      </c>
      <c r="L22" s="12">
        <v>45</v>
      </c>
      <c r="M22" s="12">
        <v>69</v>
      </c>
      <c r="N22" s="12">
        <v>65</v>
      </c>
      <c r="O22" s="12">
        <v>85</v>
      </c>
      <c r="P22" s="12">
        <v>100</v>
      </c>
      <c r="Q22" s="12">
        <v>111</v>
      </c>
      <c r="R22" s="12">
        <v>25</v>
      </c>
      <c r="S22" s="13">
        <v>1997</v>
      </c>
      <c r="T22" s="5"/>
      <c r="U22" s="33"/>
    </row>
    <row r="23" spans="1:22" ht="10.5" hidden="1" customHeight="1" x14ac:dyDescent="0.3">
      <c r="A23" s="11">
        <v>1998</v>
      </c>
      <c r="B23" s="12">
        <v>1511</v>
      </c>
      <c r="C23" s="12">
        <v>381</v>
      </c>
      <c r="D23" s="12">
        <v>94</v>
      </c>
      <c r="E23" s="12">
        <v>64</v>
      </c>
      <c r="F23" s="12">
        <v>59</v>
      </c>
      <c r="G23" s="12">
        <v>42</v>
      </c>
      <c r="H23" s="12">
        <v>40</v>
      </c>
      <c r="I23" s="12">
        <v>24</v>
      </c>
      <c r="J23" s="12">
        <v>242</v>
      </c>
      <c r="K23" s="12">
        <v>76</v>
      </c>
      <c r="L23" s="12">
        <v>47</v>
      </c>
      <c r="M23" s="12">
        <v>68</v>
      </c>
      <c r="N23" s="12">
        <v>62</v>
      </c>
      <c r="O23" s="12">
        <v>82</v>
      </c>
      <c r="P23" s="12">
        <v>96</v>
      </c>
      <c r="Q23" s="12">
        <v>109</v>
      </c>
      <c r="R23" s="12">
        <v>25</v>
      </c>
      <c r="S23" s="13">
        <v>1998</v>
      </c>
      <c r="T23" s="5"/>
      <c r="U23" s="33"/>
    </row>
    <row r="24" spans="1:22" ht="10.5" hidden="1" customHeight="1" x14ac:dyDescent="0.3">
      <c r="A24" s="11">
        <v>1999</v>
      </c>
      <c r="B24" s="12">
        <v>1428</v>
      </c>
      <c r="C24" s="12">
        <v>370</v>
      </c>
      <c r="D24" s="12">
        <v>92</v>
      </c>
      <c r="E24" s="12">
        <v>59</v>
      </c>
      <c r="F24" s="12">
        <v>57</v>
      </c>
      <c r="G24" s="12">
        <v>39</v>
      </c>
      <c r="H24" s="12">
        <v>39</v>
      </c>
      <c r="I24" s="12">
        <v>23</v>
      </c>
      <c r="J24" s="12">
        <v>237</v>
      </c>
      <c r="K24" s="12">
        <v>68</v>
      </c>
      <c r="L24" s="12">
        <v>45</v>
      </c>
      <c r="M24" s="12">
        <v>58</v>
      </c>
      <c r="N24" s="12">
        <v>58</v>
      </c>
      <c r="O24" s="12">
        <v>72</v>
      </c>
      <c r="P24" s="12">
        <v>87</v>
      </c>
      <c r="Q24" s="12">
        <v>100</v>
      </c>
      <c r="R24" s="12">
        <v>24</v>
      </c>
      <c r="S24" s="13">
        <v>1999</v>
      </c>
      <c r="T24" s="5"/>
      <c r="U24" s="33"/>
    </row>
    <row r="25" spans="1:22" ht="10.5" customHeight="1" x14ac:dyDescent="0.3">
      <c r="A25" s="11">
        <v>2000</v>
      </c>
      <c r="B25" s="12">
        <v>1361</v>
      </c>
      <c r="C25" s="12">
        <v>353</v>
      </c>
      <c r="D25" s="12">
        <v>89</v>
      </c>
      <c r="E25" s="12">
        <v>56</v>
      </c>
      <c r="F25" s="12">
        <v>54</v>
      </c>
      <c r="G25" s="12">
        <v>37</v>
      </c>
      <c r="H25" s="12">
        <v>38</v>
      </c>
      <c r="I25" s="12">
        <v>23</v>
      </c>
      <c r="J25" s="12">
        <v>232</v>
      </c>
      <c r="K25" s="12">
        <v>65</v>
      </c>
      <c r="L25" s="12">
        <v>43</v>
      </c>
      <c r="M25" s="12">
        <v>56</v>
      </c>
      <c r="N25" s="12">
        <v>51</v>
      </c>
      <c r="O25" s="12">
        <v>66</v>
      </c>
      <c r="P25" s="12">
        <v>81</v>
      </c>
      <c r="Q25" s="12">
        <v>93</v>
      </c>
      <c r="R25" s="12">
        <v>24</v>
      </c>
      <c r="S25" s="13">
        <v>2000</v>
      </c>
      <c r="T25" s="5"/>
      <c r="U25" s="33"/>
    </row>
    <row r="26" spans="1:22" ht="10.5" customHeight="1" x14ac:dyDescent="0.3">
      <c r="A26" s="11">
        <v>2001</v>
      </c>
      <c r="B26" s="12">
        <v>1347</v>
      </c>
      <c r="C26" s="12">
        <v>341</v>
      </c>
      <c r="D26" s="12">
        <v>89</v>
      </c>
      <c r="E26" s="12">
        <v>56</v>
      </c>
      <c r="F26" s="12">
        <v>53</v>
      </c>
      <c r="G26" s="12">
        <v>39</v>
      </c>
      <c r="H26" s="12">
        <v>39</v>
      </c>
      <c r="I26" s="12">
        <v>23</v>
      </c>
      <c r="J26" s="12">
        <v>231</v>
      </c>
      <c r="K26" s="12">
        <v>67</v>
      </c>
      <c r="L26" s="12">
        <v>43</v>
      </c>
      <c r="M26" s="12">
        <v>55</v>
      </c>
      <c r="N26" s="12">
        <v>50</v>
      </c>
      <c r="O26" s="12">
        <v>66</v>
      </c>
      <c r="P26" s="12">
        <v>80</v>
      </c>
      <c r="Q26" s="12">
        <v>92</v>
      </c>
      <c r="R26" s="12">
        <v>23</v>
      </c>
      <c r="S26" s="13">
        <v>2001</v>
      </c>
      <c r="T26" s="5"/>
      <c r="U26" s="33"/>
    </row>
    <row r="27" spans="1:22" ht="10.5" customHeight="1" x14ac:dyDescent="0.3">
      <c r="A27" s="11">
        <v>2002</v>
      </c>
      <c r="B27" s="12">
        <f>SUM(C27:R27)</f>
        <v>1387</v>
      </c>
      <c r="C27" s="12">
        <v>347</v>
      </c>
      <c r="D27" s="12">
        <v>90</v>
      </c>
      <c r="E27" s="12">
        <v>59</v>
      </c>
      <c r="F27" s="12">
        <v>56</v>
      </c>
      <c r="G27" s="12">
        <v>40</v>
      </c>
      <c r="H27" s="12">
        <v>39</v>
      </c>
      <c r="I27" s="12">
        <v>24</v>
      </c>
      <c r="J27" s="12">
        <v>244</v>
      </c>
      <c r="K27" s="12">
        <v>67</v>
      </c>
      <c r="L27" s="12">
        <v>45</v>
      </c>
      <c r="M27" s="12">
        <v>57</v>
      </c>
      <c r="N27" s="12">
        <v>52</v>
      </c>
      <c r="O27" s="12">
        <v>69</v>
      </c>
      <c r="P27" s="12">
        <v>81</v>
      </c>
      <c r="Q27" s="12">
        <v>93</v>
      </c>
      <c r="R27" s="12">
        <v>24</v>
      </c>
      <c r="S27" s="13">
        <v>2002</v>
      </c>
      <c r="T27" s="5"/>
      <c r="U27" s="33"/>
    </row>
    <row r="28" spans="1:22" ht="4.5" customHeight="1" x14ac:dyDescent="0.3">
      <c r="A28" s="11" t="s">
        <v>1</v>
      </c>
      <c r="B28" s="12" t="s">
        <v>2</v>
      </c>
      <c r="C28" s="12" t="s">
        <v>3</v>
      </c>
      <c r="D28" s="12" t="s">
        <v>3</v>
      </c>
      <c r="E28" s="12" t="s">
        <v>3</v>
      </c>
      <c r="F28" s="12" t="s">
        <v>3</v>
      </c>
      <c r="G28" s="12" t="s">
        <v>3</v>
      </c>
      <c r="H28" s="12" t="s">
        <v>3</v>
      </c>
      <c r="I28" s="12" t="s">
        <v>3</v>
      </c>
      <c r="J28" s="12" t="s">
        <v>0</v>
      </c>
      <c r="K28" s="12" t="s">
        <v>0</v>
      </c>
      <c r="L28" s="12" t="s">
        <v>0</v>
      </c>
      <c r="M28" s="12" t="s">
        <v>0</v>
      </c>
      <c r="N28" s="12" t="s">
        <v>0</v>
      </c>
      <c r="O28" s="12" t="s">
        <v>0</v>
      </c>
      <c r="P28" s="12" t="s">
        <v>0</v>
      </c>
      <c r="Q28" s="12" t="s">
        <v>0</v>
      </c>
      <c r="R28" s="12" t="s">
        <v>0</v>
      </c>
      <c r="S28" s="13"/>
      <c r="T28" s="5"/>
      <c r="U28" s="33"/>
    </row>
    <row r="29" spans="1:22" ht="10.5" customHeight="1" x14ac:dyDescent="0.3">
      <c r="A29" s="19">
        <v>2003</v>
      </c>
      <c r="B29" s="12">
        <v>1404</v>
      </c>
      <c r="C29" s="12">
        <v>339</v>
      </c>
      <c r="D29" s="12">
        <v>89</v>
      </c>
      <c r="E29" s="12">
        <v>60</v>
      </c>
      <c r="F29" s="12">
        <v>56</v>
      </c>
      <c r="G29" s="12">
        <v>40</v>
      </c>
      <c r="H29" s="12">
        <v>39</v>
      </c>
      <c r="I29" s="12">
        <v>25</v>
      </c>
      <c r="J29" s="12">
        <v>260</v>
      </c>
      <c r="K29" s="12">
        <v>68</v>
      </c>
      <c r="L29" s="12">
        <v>46</v>
      </c>
      <c r="M29" s="12">
        <v>59</v>
      </c>
      <c r="N29" s="12">
        <v>53</v>
      </c>
      <c r="O29" s="12">
        <v>69</v>
      </c>
      <c r="P29" s="12">
        <v>82</v>
      </c>
      <c r="Q29" s="12">
        <v>94</v>
      </c>
      <c r="R29" s="12">
        <v>25</v>
      </c>
      <c r="S29" s="13">
        <v>2003</v>
      </c>
      <c r="T29" s="5"/>
      <c r="U29" s="33"/>
    </row>
    <row r="30" spans="1:22" s="30" customFormat="1" ht="10.5" customHeight="1" x14ac:dyDescent="0.3">
      <c r="A30" s="17">
        <v>2004</v>
      </c>
      <c r="B30" s="15">
        <v>1428</v>
      </c>
      <c r="C30" s="15">
        <v>341</v>
      </c>
      <c r="D30" s="15">
        <v>91</v>
      </c>
      <c r="E30" s="15">
        <v>59</v>
      </c>
      <c r="F30" s="15">
        <v>55</v>
      </c>
      <c r="G30" s="15">
        <v>40</v>
      </c>
      <c r="H30" s="15">
        <v>39</v>
      </c>
      <c r="I30" s="15">
        <v>25</v>
      </c>
      <c r="J30" s="15">
        <v>273</v>
      </c>
      <c r="K30" s="15">
        <v>68</v>
      </c>
      <c r="L30" s="15">
        <v>50</v>
      </c>
      <c r="M30" s="15">
        <v>60</v>
      </c>
      <c r="N30" s="15">
        <v>55</v>
      </c>
      <c r="O30" s="15">
        <v>71</v>
      </c>
      <c r="P30" s="15">
        <v>82</v>
      </c>
      <c r="Q30" s="15">
        <v>94</v>
      </c>
      <c r="R30" s="15">
        <v>25</v>
      </c>
      <c r="S30" s="17">
        <v>2004</v>
      </c>
      <c r="T30" s="5"/>
      <c r="U30" s="33"/>
    </row>
    <row r="31" spans="1:22" s="30" customFormat="1" ht="10.5" customHeight="1" x14ac:dyDescent="0.3">
      <c r="A31" s="17">
        <v>2005</v>
      </c>
      <c r="B31" s="15">
        <v>1495</v>
      </c>
      <c r="C31" s="15">
        <v>360</v>
      </c>
      <c r="D31" s="15">
        <v>95</v>
      </c>
      <c r="E31" s="15">
        <v>61</v>
      </c>
      <c r="F31" s="15">
        <v>64</v>
      </c>
      <c r="G31" s="15">
        <v>41</v>
      </c>
      <c r="H31" s="15">
        <v>39</v>
      </c>
      <c r="I31" s="15">
        <v>26</v>
      </c>
      <c r="J31" s="15">
        <v>292</v>
      </c>
      <c r="K31" s="15">
        <v>68</v>
      </c>
      <c r="L31" s="15">
        <v>52</v>
      </c>
      <c r="M31" s="15">
        <v>63</v>
      </c>
      <c r="N31" s="15">
        <v>55</v>
      </c>
      <c r="O31" s="15">
        <v>71</v>
      </c>
      <c r="P31" s="15">
        <v>84</v>
      </c>
      <c r="Q31" s="15">
        <v>99</v>
      </c>
      <c r="R31" s="15">
        <v>25</v>
      </c>
      <c r="S31" s="17">
        <v>2005</v>
      </c>
      <c r="T31" s="5"/>
      <c r="U31" s="33"/>
    </row>
    <row r="32" spans="1:22" s="53" customFormat="1" ht="10.5" customHeight="1" x14ac:dyDescent="0.3">
      <c r="A32" s="48">
        <v>2006</v>
      </c>
      <c r="B32" s="50">
        <v>1495</v>
      </c>
      <c r="C32" s="50">
        <v>360</v>
      </c>
      <c r="D32" s="50">
        <v>95</v>
      </c>
      <c r="E32" s="50">
        <v>61</v>
      </c>
      <c r="F32" s="50">
        <v>64</v>
      </c>
      <c r="G32" s="50">
        <v>41</v>
      </c>
      <c r="H32" s="50">
        <v>39</v>
      </c>
      <c r="I32" s="50">
        <v>26</v>
      </c>
      <c r="J32" s="50">
        <v>292</v>
      </c>
      <c r="K32" s="50">
        <v>68</v>
      </c>
      <c r="L32" s="50">
        <v>52</v>
      </c>
      <c r="M32" s="50">
        <v>63</v>
      </c>
      <c r="N32" s="50">
        <v>55</v>
      </c>
      <c r="O32" s="50">
        <v>71</v>
      </c>
      <c r="P32" s="50">
        <v>84</v>
      </c>
      <c r="Q32" s="50">
        <v>99</v>
      </c>
      <c r="R32" s="50">
        <v>25</v>
      </c>
      <c r="S32" s="48">
        <v>2006</v>
      </c>
      <c r="T32" s="51"/>
      <c r="U32" s="51"/>
    </row>
    <row r="33" spans="1:21" ht="16.5" customHeight="1" x14ac:dyDescent="0.3">
      <c r="A33" s="133" t="s">
        <v>108</v>
      </c>
      <c r="B33" s="133"/>
      <c r="C33" s="133"/>
      <c r="D33" s="133"/>
      <c r="E33" s="133"/>
      <c r="F33" s="133"/>
      <c r="G33" s="133"/>
      <c r="H33" s="133"/>
      <c r="I33" s="133"/>
      <c r="J33" s="136" t="s">
        <v>108</v>
      </c>
      <c r="K33" s="136"/>
      <c r="L33" s="136"/>
      <c r="M33" s="136"/>
      <c r="N33" s="136"/>
      <c r="O33" s="136"/>
      <c r="P33" s="136"/>
      <c r="Q33" s="136"/>
      <c r="R33" s="136"/>
      <c r="S33" s="136"/>
      <c r="T33" s="5"/>
      <c r="U33" s="33"/>
    </row>
    <row r="34" spans="1:21" ht="10.5" hidden="1" customHeight="1" x14ac:dyDescent="0.3">
      <c r="A34" s="11">
        <v>1994</v>
      </c>
      <c r="B34" s="12">
        <v>30</v>
      </c>
      <c r="C34" s="12">
        <v>14</v>
      </c>
      <c r="D34" s="12">
        <v>5</v>
      </c>
      <c r="E34" s="12">
        <v>3</v>
      </c>
      <c r="F34" s="12">
        <v>1</v>
      </c>
      <c r="G34" s="12">
        <v>1</v>
      </c>
      <c r="H34" s="12">
        <v>1</v>
      </c>
      <c r="I34" s="12" t="s">
        <v>19</v>
      </c>
      <c r="J34" s="12">
        <v>1</v>
      </c>
      <c r="K34" s="12" t="s">
        <v>20</v>
      </c>
      <c r="L34" s="12">
        <v>1</v>
      </c>
      <c r="M34" s="12" t="s">
        <v>20</v>
      </c>
      <c r="N34" s="12">
        <v>1</v>
      </c>
      <c r="O34" s="12" t="s">
        <v>20</v>
      </c>
      <c r="P34" s="12" t="s">
        <v>20</v>
      </c>
      <c r="Q34" s="12">
        <v>2</v>
      </c>
      <c r="R34" s="12" t="s">
        <v>20</v>
      </c>
      <c r="S34" s="13">
        <v>1994</v>
      </c>
      <c r="T34" s="5"/>
      <c r="U34" s="33"/>
    </row>
    <row r="35" spans="1:21" ht="10.5" hidden="1" customHeight="1" x14ac:dyDescent="0.3">
      <c r="A35" s="11">
        <v>1995</v>
      </c>
      <c r="B35" s="12">
        <v>30</v>
      </c>
      <c r="C35" s="12">
        <v>14</v>
      </c>
      <c r="D35" s="12">
        <v>5</v>
      </c>
      <c r="E35" s="12">
        <v>3</v>
      </c>
      <c r="F35" s="12">
        <v>1</v>
      </c>
      <c r="G35" s="12">
        <v>1</v>
      </c>
      <c r="H35" s="12">
        <v>1</v>
      </c>
      <c r="I35" s="12" t="s">
        <v>19</v>
      </c>
      <c r="J35" s="12">
        <v>1</v>
      </c>
      <c r="K35" s="12" t="s">
        <v>20</v>
      </c>
      <c r="L35" s="12">
        <v>1</v>
      </c>
      <c r="M35" s="12" t="s">
        <v>20</v>
      </c>
      <c r="N35" s="12">
        <v>1</v>
      </c>
      <c r="O35" s="12" t="s">
        <v>20</v>
      </c>
      <c r="P35" s="12" t="s">
        <v>20</v>
      </c>
      <c r="Q35" s="12">
        <v>2</v>
      </c>
      <c r="R35" s="12" t="s">
        <v>20</v>
      </c>
      <c r="S35" s="13">
        <v>1995</v>
      </c>
      <c r="T35" s="5"/>
      <c r="U35" s="33"/>
    </row>
    <row r="36" spans="1:21" ht="10.5" hidden="1" customHeight="1" x14ac:dyDescent="0.3">
      <c r="A36" s="11">
        <v>1996</v>
      </c>
      <c r="B36" s="12">
        <v>30</v>
      </c>
      <c r="C36" s="12">
        <v>14</v>
      </c>
      <c r="D36" s="12">
        <v>5</v>
      </c>
      <c r="E36" s="12">
        <v>3</v>
      </c>
      <c r="F36" s="12">
        <v>1</v>
      </c>
      <c r="G36" s="12">
        <v>1</v>
      </c>
      <c r="H36" s="12">
        <v>1</v>
      </c>
      <c r="I36" s="12" t="s">
        <v>19</v>
      </c>
      <c r="J36" s="12">
        <v>1</v>
      </c>
      <c r="K36" s="12" t="s">
        <v>20</v>
      </c>
      <c r="L36" s="12">
        <v>1</v>
      </c>
      <c r="M36" s="12" t="s">
        <v>20</v>
      </c>
      <c r="N36" s="12">
        <v>1</v>
      </c>
      <c r="O36" s="12" t="s">
        <v>20</v>
      </c>
      <c r="P36" s="12" t="s">
        <v>20</v>
      </c>
      <c r="Q36" s="12">
        <v>2</v>
      </c>
      <c r="R36" s="12" t="s">
        <v>20</v>
      </c>
      <c r="S36" s="13">
        <v>1996</v>
      </c>
      <c r="T36" s="5"/>
      <c r="U36" s="33"/>
    </row>
    <row r="37" spans="1:21" ht="10.5" hidden="1" customHeight="1" x14ac:dyDescent="0.3">
      <c r="A37" s="11">
        <v>1997</v>
      </c>
      <c r="B37" s="12">
        <v>30</v>
      </c>
      <c r="C37" s="12">
        <v>14</v>
      </c>
      <c r="D37" s="12">
        <v>5</v>
      </c>
      <c r="E37" s="12">
        <v>3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 t="s">
        <v>20</v>
      </c>
      <c r="L37" s="12">
        <v>1</v>
      </c>
      <c r="M37" s="12" t="s">
        <v>20</v>
      </c>
      <c r="N37" s="12">
        <v>1</v>
      </c>
      <c r="O37" s="12" t="s">
        <v>20</v>
      </c>
      <c r="P37" s="12" t="s">
        <v>20</v>
      </c>
      <c r="Q37" s="12">
        <v>1</v>
      </c>
      <c r="R37" s="12" t="s">
        <v>20</v>
      </c>
      <c r="S37" s="13">
        <v>1997</v>
      </c>
      <c r="T37" s="5"/>
      <c r="U37" s="33"/>
    </row>
    <row r="38" spans="1:21" ht="10.5" hidden="1" customHeight="1" x14ac:dyDescent="0.3">
      <c r="A38" s="11">
        <v>1998</v>
      </c>
      <c r="B38" s="12">
        <v>14</v>
      </c>
      <c r="C38" s="12">
        <v>9</v>
      </c>
      <c r="D38" s="12">
        <v>1</v>
      </c>
      <c r="E38" s="12">
        <v>1</v>
      </c>
      <c r="F38" s="12" t="s">
        <v>19</v>
      </c>
      <c r="G38" s="12">
        <v>1</v>
      </c>
      <c r="H38" s="12" t="s">
        <v>19</v>
      </c>
      <c r="I38" s="12">
        <v>1</v>
      </c>
      <c r="J38" s="12">
        <v>1</v>
      </c>
      <c r="K38" s="12" t="s">
        <v>20</v>
      </c>
      <c r="L38" s="12" t="s">
        <v>20</v>
      </c>
      <c r="M38" s="12" t="s">
        <v>20</v>
      </c>
      <c r="N38" s="12" t="s">
        <v>20</v>
      </c>
      <c r="O38" s="12" t="s">
        <v>20</v>
      </c>
      <c r="P38" s="12" t="s">
        <v>20</v>
      </c>
      <c r="Q38" s="12" t="s">
        <v>20</v>
      </c>
      <c r="R38" s="12" t="s">
        <v>20</v>
      </c>
      <c r="S38" s="13">
        <v>1998</v>
      </c>
      <c r="T38" s="5"/>
      <c r="U38" s="33"/>
    </row>
    <row r="39" spans="1:21" ht="10.5" hidden="1" customHeight="1" x14ac:dyDescent="0.3">
      <c r="A39" s="11">
        <v>1999</v>
      </c>
      <c r="B39" s="12">
        <v>13</v>
      </c>
      <c r="C39" s="12">
        <v>8</v>
      </c>
      <c r="D39" s="12">
        <v>1</v>
      </c>
      <c r="E39" s="12">
        <v>1</v>
      </c>
      <c r="F39" s="54" t="s">
        <v>109</v>
      </c>
      <c r="G39" s="12">
        <v>1</v>
      </c>
      <c r="H39" s="54" t="s">
        <v>109</v>
      </c>
      <c r="I39" s="12">
        <v>1</v>
      </c>
      <c r="J39" s="12">
        <v>1</v>
      </c>
      <c r="K39" s="54" t="s">
        <v>109</v>
      </c>
      <c r="L39" s="54" t="s">
        <v>109</v>
      </c>
      <c r="M39" s="54" t="s">
        <v>109</v>
      </c>
      <c r="N39" s="54" t="s">
        <v>109</v>
      </c>
      <c r="O39" s="54" t="s">
        <v>109</v>
      </c>
      <c r="P39" s="54" t="s">
        <v>109</v>
      </c>
      <c r="Q39" s="54" t="s">
        <v>109</v>
      </c>
      <c r="R39" s="54" t="s">
        <v>109</v>
      </c>
      <c r="S39" s="13">
        <v>1999</v>
      </c>
      <c r="T39" s="5"/>
      <c r="U39" s="33"/>
    </row>
    <row r="40" spans="1:21" ht="10.5" customHeight="1" x14ac:dyDescent="0.3">
      <c r="A40" s="11">
        <v>2000</v>
      </c>
      <c r="B40" s="12">
        <v>12</v>
      </c>
      <c r="C40" s="12">
        <v>8</v>
      </c>
      <c r="D40" s="54" t="s">
        <v>109</v>
      </c>
      <c r="E40" s="12">
        <v>1</v>
      </c>
      <c r="F40" s="54" t="s">
        <v>109</v>
      </c>
      <c r="G40" s="12">
        <v>1</v>
      </c>
      <c r="H40" s="54" t="s">
        <v>109</v>
      </c>
      <c r="I40" s="12">
        <v>1</v>
      </c>
      <c r="J40" s="12">
        <v>1</v>
      </c>
      <c r="K40" s="54" t="s">
        <v>109</v>
      </c>
      <c r="L40" s="54" t="s">
        <v>109</v>
      </c>
      <c r="M40" s="54" t="s">
        <v>109</v>
      </c>
      <c r="N40" s="54" t="s">
        <v>109</v>
      </c>
      <c r="O40" s="54" t="s">
        <v>109</v>
      </c>
      <c r="P40" s="54" t="s">
        <v>109</v>
      </c>
      <c r="Q40" s="54" t="s">
        <v>109</v>
      </c>
      <c r="R40" s="54" t="s">
        <v>109</v>
      </c>
      <c r="S40" s="13">
        <v>2000</v>
      </c>
      <c r="T40" s="5"/>
      <c r="U40" s="33"/>
    </row>
    <row r="41" spans="1:21" ht="10.5" customHeight="1" x14ac:dyDescent="0.3">
      <c r="A41" s="11">
        <v>2001</v>
      </c>
      <c r="B41" s="12">
        <v>7</v>
      </c>
      <c r="C41" s="12">
        <v>6</v>
      </c>
      <c r="D41" s="54" t="s">
        <v>109</v>
      </c>
      <c r="E41" s="54" t="s">
        <v>109</v>
      </c>
      <c r="F41" s="54" t="s">
        <v>109</v>
      </c>
      <c r="G41" s="12">
        <v>1</v>
      </c>
      <c r="H41" s="54" t="s">
        <v>109</v>
      </c>
      <c r="I41" s="54" t="s">
        <v>109</v>
      </c>
      <c r="J41" s="54" t="s">
        <v>109</v>
      </c>
      <c r="K41" s="54" t="s">
        <v>109</v>
      </c>
      <c r="L41" s="54" t="s">
        <v>109</v>
      </c>
      <c r="M41" s="54" t="s">
        <v>109</v>
      </c>
      <c r="N41" s="54" t="s">
        <v>109</v>
      </c>
      <c r="O41" s="54" t="s">
        <v>109</v>
      </c>
      <c r="P41" s="54" t="s">
        <v>109</v>
      </c>
      <c r="Q41" s="54" t="s">
        <v>109</v>
      </c>
      <c r="R41" s="54" t="s">
        <v>109</v>
      </c>
      <c r="S41" s="13">
        <v>2001</v>
      </c>
      <c r="T41" s="5"/>
      <c r="U41" s="33"/>
    </row>
    <row r="42" spans="1:21" ht="10.5" customHeight="1" x14ac:dyDescent="0.3">
      <c r="A42" s="11">
        <v>2002</v>
      </c>
      <c r="B42" s="12">
        <v>7</v>
      </c>
      <c r="C42" s="12">
        <v>6</v>
      </c>
      <c r="D42" s="54" t="s">
        <v>109</v>
      </c>
      <c r="E42" s="54" t="s">
        <v>109</v>
      </c>
      <c r="F42" s="54" t="s">
        <v>109</v>
      </c>
      <c r="G42" s="12">
        <v>1</v>
      </c>
      <c r="H42" s="54" t="s">
        <v>109</v>
      </c>
      <c r="I42" s="54" t="s">
        <v>109</v>
      </c>
      <c r="J42" s="54" t="s">
        <v>109</v>
      </c>
      <c r="K42" s="54" t="s">
        <v>109</v>
      </c>
      <c r="L42" s="54" t="s">
        <v>109</v>
      </c>
      <c r="M42" s="54" t="s">
        <v>109</v>
      </c>
      <c r="N42" s="54" t="s">
        <v>109</v>
      </c>
      <c r="O42" s="54" t="s">
        <v>109</v>
      </c>
      <c r="P42" s="54" t="s">
        <v>109</v>
      </c>
      <c r="Q42" s="54" t="s">
        <v>109</v>
      </c>
      <c r="R42" s="54" t="s">
        <v>109</v>
      </c>
      <c r="S42" s="13">
        <v>2002</v>
      </c>
      <c r="T42" s="5"/>
      <c r="U42" s="33"/>
    </row>
    <row r="43" spans="1:21" ht="6" customHeight="1" x14ac:dyDescent="0.3">
      <c r="A43" s="11" t="s">
        <v>1</v>
      </c>
      <c r="B43" s="12" t="s">
        <v>2</v>
      </c>
      <c r="C43" s="12" t="s">
        <v>3</v>
      </c>
      <c r="D43" s="12" t="s">
        <v>3</v>
      </c>
      <c r="E43" s="12" t="s">
        <v>3</v>
      </c>
      <c r="F43" s="12" t="s">
        <v>3</v>
      </c>
      <c r="G43" s="12" t="s">
        <v>3</v>
      </c>
      <c r="H43" s="12" t="s">
        <v>3</v>
      </c>
      <c r="I43" s="12" t="s">
        <v>3</v>
      </c>
      <c r="J43" s="12" t="s">
        <v>0</v>
      </c>
      <c r="K43" s="12" t="s">
        <v>0</v>
      </c>
      <c r="L43" s="12" t="s">
        <v>0</v>
      </c>
      <c r="M43" s="12" t="s">
        <v>0</v>
      </c>
      <c r="N43" s="12" t="s">
        <v>0</v>
      </c>
      <c r="O43" s="12" t="s">
        <v>0</v>
      </c>
      <c r="P43" s="12" t="s">
        <v>0</v>
      </c>
      <c r="Q43" s="12" t="s">
        <v>0</v>
      </c>
      <c r="R43" s="12" t="s">
        <v>0</v>
      </c>
      <c r="S43" s="13"/>
      <c r="T43" s="5"/>
      <c r="U43" s="33"/>
    </row>
    <row r="44" spans="1:21" ht="10.5" customHeight="1" x14ac:dyDescent="0.3">
      <c r="A44" s="11">
        <v>2003</v>
      </c>
      <c r="B44" s="12">
        <v>7</v>
      </c>
      <c r="C44" s="12">
        <v>6</v>
      </c>
      <c r="D44" s="54" t="s">
        <v>109</v>
      </c>
      <c r="E44" s="54" t="s">
        <v>109</v>
      </c>
      <c r="F44" s="54" t="s">
        <v>109</v>
      </c>
      <c r="G44" s="12">
        <v>1</v>
      </c>
      <c r="H44" s="54" t="s">
        <v>109</v>
      </c>
      <c r="I44" s="54" t="s">
        <v>109</v>
      </c>
      <c r="J44" s="54" t="s">
        <v>109</v>
      </c>
      <c r="K44" s="54" t="s">
        <v>109</v>
      </c>
      <c r="L44" s="54" t="s">
        <v>109</v>
      </c>
      <c r="M44" s="54" t="s">
        <v>109</v>
      </c>
      <c r="N44" s="54" t="s">
        <v>109</v>
      </c>
      <c r="O44" s="54" t="s">
        <v>109</v>
      </c>
      <c r="P44" s="54" t="s">
        <v>109</v>
      </c>
      <c r="Q44" s="54" t="s">
        <v>109</v>
      </c>
      <c r="R44" s="54" t="s">
        <v>109</v>
      </c>
      <c r="S44" s="13">
        <v>2003</v>
      </c>
      <c r="T44" s="5"/>
      <c r="U44" s="33"/>
    </row>
    <row r="45" spans="1:21" s="30" customFormat="1" ht="10.5" customHeight="1" x14ac:dyDescent="0.3">
      <c r="A45" s="17">
        <v>2004</v>
      </c>
      <c r="B45" s="15">
        <v>7</v>
      </c>
      <c r="C45" s="15">
        <v>6</v>
      </c>
      <c r="D45" s="54" t="s">
        <v>109</v>
      </c>
      <c r="E45" s="54" t="s">
        <v>109</v>
      </c>
      <c r="F45" s="54" t="s">
        <v>109</v>
      </c>
      <c r="G45" s="15">
        <v>1</v>
      </c>
      <c r="H45" s="54" t="s">
        <v>109</v>
      </c>
      <c r="I45" s="54" t="s">
        <v>109</v>
      </c>
      <c r="J45" s="54" t="s">
        <v>109</v>
      </c>
      <c r="K45" s="54" t="s">
        <v>109</v>
      </c>
      <c r="L45" s="54" t="s">
        <v>109</v>
      </c>
      <c r="M45" s="54" t="s">
        <v>109</v>
      </c>
      <c r="N45" s="54" t="s">
        <v>109</v>
      </c>
      <c r="O45" s="54" t="s">
        <v>109</v>
      </c>
      <c r="P45" s="54" t="s">
        <v>109</v>
      </c>
      <c r="Q45" s="54" t="s">
        <v>109</v>
      </c>
      <c r="R45" s="54" t="s">
        <v>109</v>
      </c>
      <c r="S45" s="17">
        <v>2004</v>
      </c>
      <c r="T45" s="5"/>
      <c r="U45" s="33"/>
    </row>
    <row r="46" spans="1:21" s="30" customFormat="1" ht="10.5" customHeight="1" x14ac:dyDescent="0.3">
      <c r="A46" s="17">
        <v>2005</v>
      </c>
      <c r="B46" s="15">
        <v>7</v>
      </c>
      <c r="C46" s="15">
        <v>6</v>
      </c>
      <c r="D46" s="54" t="s">
        <v>109</v>
      </c>
      <c r="E46" s="54" t="s">
        <v>109</v>
      </c>
      <c r="F46" s="54" t="s">
        <v>109</v>
      </c>
      <c r="G46" s="15">
        <v>1</v>
      </c>
      <c r="H46" s="54" t="s">
        <v>109</v>
      </c>
      <c r="I46" s="54" t="s">
        <v>109</v>
      </c>
      <c r="J46" s="54" t="s">
        <v>109</v>
      </c>
      <c r="K46" s="54" t="s">
        <v>109</v>
      </c>
      <c r="L46" s="54" t="s">
        <v>109</v>
      </c>
      <c r="M46" s="54" t="s">
        <v>109</v>
      </c>
      <c r="N46" s="54" t="s">
        <v>109</v>
      </c>
      <c r="O46" s="54" t="s">
        <v>109</v>
      </c>
      <c r="P46" s="54" t="s">
        <v>109</v>
      </c>
      <c r="Q46" s="54" t="s">
        <v>109</v>
      </c>
      <c r="R46" s="54" t="s">
        <v>109</v>
      </c>
      <c r="S46" s="17">
        <v>2005</v>
      </c>
      <c r="T46" s="5"/>
      <c r="U46" s="33"/>
    </row>
    <row r="47" spans="1:21" s="53" customFormat="1" ht="10.5" customHeight="1" x14ac:dyDescent="0.3">
      <c r="A47" s="48">
        <v>2006</v>
      </c>
      <c r="B47" s="50">
        <v>7</v>
      </c>
      <c r="C47" s="50">
        <v>6</v>
      </c>
      <c r="D47" s="55" t="s">
        <v>109</v>
      </c>
      <c r="E47" s="55" t="s">
        <v>109</v>
      </c>
      <c r="F47" s="55" t="s">
        <v>109</v>
      </c>
      <c r="G47" s="50">
        <v>1</v>
      </c>
      <c r="H47" s="55" t="s">
        <v>109</v>
      </c>
      <c r="I47" s="55" t="s">
        <v>109</v>
      </c>
      <c r="J47" s="55" t="s">
        <v>109</v>
      </c>
      <c r="K47" s="55" t="s">
        <v>109</v>
      </c>
      <c r="L47" s="55" t="s">
        <v>109</v>
      </c>
      <c r="M47" s="55" t="s">
        <v>109</v>
      </c>
      <c r="N47" s="55" t="s">
        <v>109</v>
      </c>
      <c r="O47" s="55" t="s">
        <v>109</v>
      </c>
      <c r="P47" s="55" t="s">
        <v>109</v>
      </c>
      <c r="Q47" s="55" t="s">
        <v>109</v>
      </c>
      <c r="R47" s="55" t="s">
        <v>109</v>
      </c>
      <c r="S47" s="48">
        <v>2006</v>
      </c>
      <c r="T47" s="51"/>
      <c r="U47" s="51"/>
    </row>
    <row r="48" spans="1:21" ht="16.5" customHeight="1" x14ac:dyDescent="0.3">
      <c r="A48" s="133" t="s">
        <v>110</v>
      </c>
      <c r="B48" s="133"/>
      <c r="C48" s="133"/>
      <c r="D48" s="133"/>
      <c r="E48" s="133"/>
      <c r="F48" s="133"/>
      <c r="G48" s="133"/>
      <c r="H48" s="133"/>
      <c r="I48" s="133"/>
      <c r="J48" s="136" t="s">
        <v>111</v>
      </c>
      <c r="K48" s="136"/>
      <c r="L48" s="136"/>
      <c r="M48" s="136"/>
      <c r="N48" s="136"/>
      <c r="O48" s="136"/>
      <c r="P48" s="136"/>
      <c r="Q48" s="136"/>
      <c r="R48" s="136"/>
      <c r="S48" s="136"/>
      <c r="T48" s="5"/>
      <c r="U48" s="33"/>
    </row>
    <row r="49" spans="1:21" ht="10.5" hidden="1" customHeight="1" x14ac:dyDescent="0.3">
      <c r="A49" s="11">
        <v>1994</v>
      </c>
      <c r="B49" s="12">
        <v>3682</v>
      </c>
      <c r="C49" s="12">
        <v>1491</v>
      </c>
      <c r="D49" s="12">
        <v>337</v>
      </c>
      <c r="E49" s="12">
        <v>234</v>
      </c>
      <c r="F49" s="12">
        <v>139</v>
      </c>
      <c r="G49" s="12">
        <v>108</v>
      </c>
      <c r="H49" s="12">
        <v>108</v>
      </c>
      <c r="I49" s="12" t="s">
        <v>19</v>
      </c>
      <c r="J49" s="12">
        <v>443</v>
      </c>
      <c r="K49" s="12">
        <v>62</v>
      </c>
      <c r="L49" s="12">
        <v>72</v>
      </c>
      <c r="M49" s="12">
        <v>65</v>
      </c>
      <c r="N49" s="12">
        <v>111</v>
      </c>
      <c r="O49" s="12">
        <v>78</v>
      </c>
      <c r="P49" s="12">
        <v>120</v>
      </c>
      <c r="Q49" s="12">
        <v>263</v>
      </c>
      <c r="R49" s="12">
        <v>51</v>
      </c>
      <c r="S49" s="13">
        <v>1994</v>
      </c>
    </row>
    <row r="50" spans="1:21" ht="10.5" hidden="1" customHeight="1" x14ac:dyDescent="0.3">
      <c r="A50" s="11">
        <v>1995</v>
      </c>
      <c r="B50" s="12">
        <v>4557</v>
      </c>
      <c r="C50" s="12">
        <v>1793</v>
      </c>
      <c r="D50" s="12">
        <v>405</v>
      </c>
      <c r="E50" s="12">
        <v>285</v>
      </c>
      <c r="F50" s="12">
        <v>178</v>
      </c>
      <c r="G50" s="12">
        <v>132</v>
      </c>
      <c r="H50" s="12">
        <v>130</v>
      </c>
      <c r="I50" s="12" t="s">
        <v>19</v>
      </c>
      <c r="J50" s="12">
        <v>599</v>
      </c>
      <c r="K50" s="12">
        <v>88</v>
      </c>
      <c r="L50" s="12">
        <v>90</v>
      </c>
      <c r="M50" s="12">
        <v>88</v>
      </c>
      <c r="N50" s="12">
        <v>134</v>
      </c>
      <c r="O50" s="12">
        <v>110</v>
      </c>
      <c r="P50" s="12">
        <v>153</v>
      </c>
      <c r="Q50" s="12">
        <v>315</v>
      </c>
      <c r="R50" s="12">
        <v>57</v>
      </c>
      <c r="S50" s="13">
        <v>1995</v>
      </c>
    </row>
    <row r="51" spans="1:21" ht="10.5" hidden="1" customHeight="1" x14ac:dyDescent="0.3">
      <c r="A51" s="11">
        <v>1996</v>
      </c>
      <c r="B51" s="12">
        <v>5105</v>
      </c>
      <c r="C51" s="12">
        <v>1955</v>
      </c>
      <c r="D51" s="12">
        <v>457</v>
      </c>
      <c r="E51" s="12">
        <v>315</v>
      </c>
      <c r="F51" s="12">
        <v>201</v>
      </c>
      <c r="G51" s="12">
        <v>149</v>
      </c>
      <c r="H51" s="12">
        <v>151</v>
      </c>
      <c r="I51" s="12" t="s">
        <v>19</v>
      </c>
      <c r="J51" s="12">
        <v>731</v>
      </c>
      <c r="K51" s="12">
        <v>101</v>
      </c>
      <c r="L51" s="12">
        <v>107</v>
      </c>
      <c r="M51" s="12">
        <v>95</v>
      </c>
      <c r="N51" s="12">
        <v>150</v>
      </c>
      <c r="O51" s="12">
        <v>121</v>
      </c>
      <c r="P51" s="12">
        <v>161</v>
      </c>
      <c r="Q51" s="12">
        <v>351</v>
      </c>
      <c r="R51" s="12">
        <v>60</v>
      </c>
      <c r="S51" s="13">
        <v>1996</v>
      </c>
    </row>
    <row r="52" spans="1:21" ht="10.5" hidden="1" customHeight="1" x14ac:dyDescent="0.3">
      <c r="A52" s="11">
        <v>1997</v>
      </c>
      <c r="B52" s="12">
        <v>5988</v>
      </c>
      <c r="C52" s="12">
        <v>2244</v>
      </c>
      <c r="D52" s="12">
        <v>527</v>
      </c>
      <c r="E52" s="12">
        <v>352</v>
      </c>
      <c r="F52" s="12">
        <v>256</v>
      </c>
      <c r="G52" s="12">
        <v>175</v>
      </c>
      <c r="H52" s="12">
        <v>183</v>
      </c>
      <c r="I52" s="12">
        <v>119</v>
      </c>
      <c r="J52" s="12">
        <v>913</v>
      </c>
      <c r="K52" s="12">
        <v>117</v>
      </c>
      <c r="L52" s="12">
        <v>133</v>
      </c>
      <c r="M52" s="12">
        <v>119</v>
      </c>
      <c r="N52" s="12">
        <v>176</v>
      </c>
      <c r="O52" s="12">
        <v>133</v>
      </c>
      <c r="P52" s="12">
        <v>192</v>
      </c>
      <c r="Q52" s="12">
        <v>280</v>
      </c>
      <c r="R52" s="12">
        <v>69</v>
      </c>
      <c r="S52" s="13">
        <v>1997</v>
      </c>
      <c r="T52" s="5"/>
    </row>
    <row r="53" spans="1:21" ht="10.5" hidden="1" customHeight="1" x14ac:dyDescent="0.3">
      <c r="A53" s="11">
        <v>1998</v>
      </c>
      <c r="B53" s="12">
        <v>5103</v>
      </c>
      <c r="C53" s="12">
        <v>2005</v>
      </c>
      <c r="D53" s="12">
        <v>463</v>
      </c>
      <c r="E53" s="12">
        <v>291</v>
      </c>
      <c r="F53" s="12">
        <v>203</v>
      </c>
      <c r="G53" s="12">
        <v>158</v>
      </c>
      <c r="H53" s="12">
        <v>136</v>
      </c>
      <c r="I53" s="12">
        <v>95</v>
      </c>
      <c r="J53" s="12">
        <v>732</v>
      </c>
      <c r="K53" s="12">
        <v>107</v>
      </c>
      <c r="L53" s="12">
        <v>116</v>
      </c>
      <c r="M53" s="12">
        <v>86</v>
      </c>
      <c r="N53" s="12">
        <v>145</v>
      </c>
      <c r="O53" s="12">
        <v>119</v>
      </c>
      <c r="P53" s="12">
        <v>149</v>
      </c>
      <c r="Q53" s="12">
        <v>235</v>
      </c>
      <c r="R53" s="12">
        <v>63</v>
      </c>
      <c r="S53" s="13">
        <v>1998</v>
      </c>
      <c r="T53" s="5"/>
      <c r="U53" s="33"/>
    </row>
    <row r="54" spans="1:21" ht="10.5" hidden="1" customHeight="1" x14ac:dyDescent="0.3">
      <c r="A54" s="11">
        <v>1999</v>
      </c>
      <c r="B54" s="12">
        <v>4853</v>
      </c>
      <c r="C54" s="12">
        <v>1957</v>
      </c>
      <c r="D54" s="12">
        <v>431</v>
      </c>
      <c r="E54" s="12">
        <v>280</v>
      </c>
      <c r="F54" s="12">
        <v>187</v>
      </c>
      <c r="G54" s="12">
        <v>152</v>
      </c>
      <c r="H54" s="12">
        <v>136</v>
      </c>
      <c r="I54" s="12">
        <v>89</v>
      </c>
      <c r="J54" s="12">
        <v>687</v>
      </c>
      <c r="K54" s="12">
        <v>85</v>
      </c>
      <c r="L54" s="12">
        <v>94</v>
      </c>
      <c r="M54" s="12">
        <v>87</v>
      </c>
      <c r="N54" s="12">
        <v>135</v>
      </c>
      <c r="O54" s="12">
        <v>112</v>
      </c>
      <c r="P54" s="12">
        <v>143</v>
      </c>
      <c r="Q54" s="12">
        <v>223</v>
      </c>
      <c r="R54" s="12">
        <v>55</v>
      </c>
      <c r="S54" s="13">
        <v>1999</v>
      </c>
      <c r="T54" s="5"/>
      <c r="U54" s="33"/>
    </row>
    <row r="55" spans="1:21" ht="10.5" customHeight="1" x14ac:dyDescent="0.3">
      <c r="A55" s="11">
        <v>2000</v>
      </c>
      <c r="B55" s="12">
        <v>4787</v>
      </c>
      <c r="C55" s="12">
        <v>1928</v>
      </c>
      <c r="D55" s="12">
        <v>424</v>
      </c>
      <c r="E55" s="12">
        <v>276</v>
      </c>
      <c r="F55" s="12">
        <v>184</v>
      </c>
      <c r="G55" s="12">
        <v>142</v>
      </c>
      <c r="H55" s="12">
        <v>139</v>
      </c>
      <c r="I55" s="12">
        <v>89</v>
      </c>
      <c r="J55" s="12">
        <v>690</v>
      </c>
      <c r="K55" s="12">
        <v>83</v>
      </c>
      <c r="L55" s="12">
        <v>88</v>
      </c>
      <c r="M55" s="12">
        <v>87</v>
      </c>
      <c r="N55" s="12">
        <v>137</v>
      </c>
      <c r="O55" s="12">
        <v>105</v>
      </c>
      <c r="P55" s="12">
        <v>142</v>
      </c>
      <c r="Q55" s="12">
        <v>220</v>
      </c>
      <c r="R55" s="12">
        <v>53</v>
      </c>
      <c r="S55" s="13">
        <v>2000</v>
      </c>
      <c r="T55" s="5"/>
      <c r="U55" s="33"/>
    </row>
    <row r="56" spans="1:21" ht="10.5" customHeight="1" x14ac:dyDescent="0.3">
      <c r="A56" s="11">
        <v>2001</v>
      </c>
      <c r="B56" s="12">
        <f>4763-1</f>
        <v>4762</v>
      </c>
      <c r="C56" s="12">
        <v>1922</v>
      </c>
      <c r="D56" s="12">
        <v>431</v>
      </c>
      <c r="E56" s="12">
        <v>267</v>
      </c>
      <c r="F56" s="12">
        <v>184</v>
      </c>
      <c r="G56" s="12">
        <v>143</v>
      </c>
      <c r="H56" s="12">
        <v>135</v>
      </c>
      <c r="I56" s="12">
        <v>84</v>
      </c>
      <c r="J56" s="12">
        <v>709</v>
      </c>
      <c r="K56" s="12">
        <v>82</v>
      </c>
      <c r="L56" s="12">
        <v>80</v>
      </c>
      <c r="M56" s="12">
        <v>90</v>
      </c>
      <c r="N56" s="12">
        <f>134-1</f>
        <v>133</v>
      </c>
      <c r="O56" s="12">
        <v>99</v>
      </c>
      <c r="P56" s="12">
        <v>144</v>
      </c>
      <c r="Q56" s="12">
        <v>207</v>
      </c>
      <c r="R56" s="12">
        <v>52</v>
      </c>
      <c r="S56" s="13">
        <v>2001</v>
      </c>
      <c r="T56" s="5"/>
      <c r="U56" s="33"/>
    </row>
    <row r="57" spans="1:21" s="4" customFormat="1" ht="10.5" customHeight="1" x14ac:dyDescent="0.3">
      <c r="A57" s="14">
        <v>2002</v>
      </c>
      <c r="B57" s="12">
        <f>SUM(C57:R57)</f>
        <v>4947</v>
      </c>
      <c r="C57" s="15">
        <v>2011</v>
      </c>
      <c r="D57" s="15">
        <v>441</v>
      </c>
      <c r="E57" s="15">
        <v>281</v>
      </c>
      <c r="F57" s="15">
        <v>192</v>
      </c>
      <c r="G57" s="15">
        <v>151</v>
      </c>
      <c r="H57" s="15">
        <v>144</v>
      </c>
      <c r="I57" s="15">
        <v>89</v>
      </c>
      <c r="J57" s="15">
        <v>752</v>
      </c>
      <c r="K57" s="15">
        <v>80</v>
      </c>
      <c r="L57" s="15">
        <v>82</v>
      </c>
      <c r="M57" s="15">
        <v>88</v>
      </c>
      <c r="N57" s="15">
        <v>136</v>
      </c>
      <c r="O57" s="15">
        <v>93</v>
      </c>
      <c r="P57" s="15">
        <v>144</v>
      </c>
      <c r="Q57" s="15">
        <v>207</v>
      </c>
      <c r="R57" s="15">
        <v>56</v>
      </c>
      <c r="S57" s="16">
        <v>2002</v>
      </c>
      <c r="T57" s="5"/>
      <c r="U57" s="33"/>
    </row>
    <row r="58" spans="1:21" ht="4.5" customHeight="1" x14ac:dyDescent="0.3">
      <c r="A58" s="11" t="s">
        <v>1</v>
      </c>
      <c r="B58" s="12" t="s">
        <v>2</v>
      </c>
      <c r="C58" s="12" t="s">
        <v>3</v>
      </c>
      <c r="D58" s="12" t="s">
        <v>3</v>
      </c>
      <c r="E58" s="12" t="s">
        <v>3</v>
      </c>
      <c r="F58" s="12" t="s">
        <v>3</v>
      </c>
      <c r="G58" s="12" t="s">
        <v>3</v>
      </c>
      <c r="H58" s="12" t="s">
        <v>3</v>
      </c>
      <c r="I58" s="12" t="s">
        <v>3</v>
      </c>
      <c r="J58" s="12" t="s">
        <v>0</v>
      </c>
      <c r="K58" s="12" t="s">
        <v>0</v>
      </c>
      <c r="L58" s="12" t="s">
        <v>0</v>
      </c>
      <c r="M58" s="12" t="s">
        <v>0</v>
      </c>
      <c r="N58" s="12" t="s">
        <v>0</v>
      </c>
      <c r="O58" s="12" t="s">
        <v>0</v>
      </c>
      <c r="P58" s="12" t="s">
        <v>0</v>
      </c>
      <c r="Q58" s="12" t="s">
        <v>0</v>
      </c>
      <c r="R58" s="12" t="s">
        <v>0</v>
      </c>
      <c r="S58" s="13"/>
      <c r="T58" s="5"/>
      <c r="U58" s="33"/>
    </row>
    <row r="59" spans="1:21" s="4" customFormat="1" ht="10.5" customHeight="1" x14ac:dyDescent="0.3">
      <c r="A59" s="14">
        <v>2003</v>
      </c>
      <c r="B59" s="12">
        <v>5004</v>
      </c>
      <c r="C59" s="15">
        <v>2003</v>
      </c>
      <c r="D59" s="15">
        <v>455</v>
      </c>
      <c r="E59" s="15">
        <v>279</v>
      </c>
      <c r="F59" s="15">
        <v>192</v>
      </c>
      <c r="G59" s="15">
        <v>150</v>
      </c>
      <c r="H59" s="15">
        <v>142</v>
      </c>
      <c r="I59" s="15">
        <v>90</v>
      </c>
      <c r="J59" s="15">
        <v>808</v>
      </c>
      <c r="K59" s="15">
        <v>74</v>
      </c>
      <c r="L59" s="15">
        <v>79</v>
      </c>
      <c r="M59" s="15">
        <v>86</v>
      </c>
      <c r="N59" s="15">
        <v>136</v>
      </c>
      <c r="O59" s="15">
        <v>94</v>
      </c>
      <c r="P59" s="15">
        <v>142</v>
      </c>
      <c r="Q59" s="15">
        <v>219</v>
      </c>
      <c r="R59" s="15">
        <v>55</v>
      </c>
      <c r="S59" s="16">
        <v>2003</v>
      </c>
      <c r="T59" s="5"/>
      <c r="U59" s="33"/>
    </row>
    <row r="60" spans="1:21" s="30" customFormat="1" ht="10.5" customHeight="1" x14ac:dyDescent="0.3">
      <c r="A60" s="17">
        <v>2004</v>
      </c>
      <c r="B60" s="15">
        <v>4993</v>
      </c>
      <c r="C60" s="15">
        <v>2016</v>
      </c>
      <c r="D60" s="15">
        <v>454</v>
      </c>
      <c r="E60" s="15">
        <v>272</v>
      </c>
      <c r="F60" s="15">
        <v>196</v>
      </c>
      <c r="G60" s="15">
        <v>150</v>
      </c>
      <c r="H60" s="15">
        <v>143</v>
      </c>
      <c r="I60" s="15">
        <v>87</v>
      </c>
      <c r="J60" s="15">
        <v>822</v>
      </c>
      <c r="K60" s="15">
        <v>69</v>
      </c>
      <c r="L60" s="15">
        <v>70</v>
      </c>
      <c r="M60" s="15">
        <v>88</v>
      </c>
      <c r="N60" s="15">
        <v>132</v>
      </c>
      <c r="O60" s="15">
        <v>91</v>
      </c>
      <c r="P60" s="15">
        <v>143</v>
      </c>
      <c r="Q60" s="15">
        <v>208</v>
      </c>
      <c r="R60" s="15">
        <v>52</v>
      </c>
      <c r="S60" s="17">
        <v>2004</v>
      </c>
      <c r="T60" s="5"/>
      <c r="U60" s="33"/>
    </row>
    <row r="61" spans="1:21" s="30" customFormat="1" ht="10.5" customHeight="1" x14ac:dyDescent="0.3">
      <c r="A61" s="17">
        <v>2005</v>
      </c>
      <c r="B61" s="15">
        <f>4993+876</f>
        <v>5869</v>
      </c>
      <c r="C61" s="15">
        <f>2016+375</f>
        <v>2391</v>
      </c>
      <c r="D61" s="15">
        <f>454+56</f>
        <v>510</v>
      </c>
      <c r="E61" s="15">
        <f>272+40</f>
        <v>312</v>
      </c>
      <c r="F61" s="15">
        <f>196+23</f>
        <v>219</v>
      </c>
      <c r="G61" s="15">
        <f>150+28</f>
        <v>178</v>
      </c>
      <c r="H61" s="15">
        <f>143+26</f>
        <v>169</v>
      </c>
      <c r="I61" s="15">
        <f>87+23</f>
        <v>110</v>
      </c>
      <c r="J61" s="15">
        <f>822+128</f>
        <v>950</v>
      </c>
      <c r="K61" s="15">
        <f>69+21</f>
        <v>90</v>
      </c>
      <c r="L61" s="15">
        <f>70+18</f>
        <v>88</v>
      </c>
      <c r="M61" s="15">
        <f>88+20</f>
        <v>108</v>
      </c>
      <c r="N61" s="15">
        <f>132+23</f>
        <v>155</v>
      </c>
      <c r="O61" s="15">
        <f>91+20</f>
        <v>111</v>
      </c>
      <c r="P61" s="15">
        <f>143+31</f>
        <v>174</v>
      </c>
      <c r="Q61" s="15">
        <f>208+33</f>
        <v>241</v>
      </c>
      <c r="R61" s="15">
        <f>52+11</f>
        <v>63</v>
      </c>
      <c r="S61" s="17">
        <v>2005</v>
      </c>
      <c r="T61" s="5"/>
      <c r="U61" s="33"/>
    </row>
    <row r="62" spans="1:21" s="53" customFormat="1" ht="10.5" customHeight="1" x14ac:dyDescent="0.3">
      <c r="A62" s="48">
        <v>2006</v>
      </c>
      <c r="B62" s="50">
        <f>4993+876</f>
        <v>5869</v>
      </c>
      <c r="C62" s="50">
        <f>2016+375</f>
        <v>2391</v>
      </c>
      <c r="D62" s="50">
        <f>454+56</f>
        <v>510</v>
      </c>
      <c r="E62" s="50">
        <f>272+40</f>
        <v>312</v>
      </c>
      <c r="F62" s="50">
        <f>196+23</f>
        <v>219</v>
      </c>
      <c r="G62" s="50">
        <f>150+28</f>
        <v>178</v>
      </c>
      <c r="H62" s="50">
        <f>143+26</f>
        <v>169</v>
      </c>
      <c r="I62" s="50">
        <f>87+23</f>
        <v>110</v>
      </c>
      <c r="J62" s="50">
        <f>822+128</f>
        <v>950</v>
      </c>
      <c r="K62" s="50">
        <f>69+21</f>
        <v>90</v>
      </c>
      <c r="L62" s="50">
        <f>70+18</f>
        <v>88</v>
      </c>
      <c r="M62" s="50">
        <f>88+20</f>
        <v>108</v>
      </c>
      <c r="N62" s="50">
        <f>132+23</f>
        <v>155</v>
      </c>
      <c r="O62" s="50">
        <f>91+20</f>
        <v>111</v>
      </c>
      <c r="P62" s="50">
        <f>143+31</f>
        <v>174</v>
      </c>
      <c r="Q62" s="50">
        <f>208+33</f>
        <v>241</v>
      </c>
      <c r="R62" s="50">
        <f>52+11</f>
        <v>63</v>
      </c>
      <c r="S62" s="48">
        <v>2006</v>
      </c>
      <c r="T62" s="51"/>
      <c r="U62" s="51"/>
    </row>
    <row r="63" spans="1:21" ht="16.5" customHeight="1" x14ac:dyDescent="0.3">
      <c r="A63" s="133" t="s">
        <v>112</v>
      </c>
      <c r="B63" s="133"/>
      <c r="C63" s="133"/>
      <c r="D63" s="133"/>
      <c r="E63" s="133"/>
      <c r="F63" s="133"/>
      <c r="G63" s="133"/>
      <c r="H63" s="133"/>
      <c r="I63" s="133"/>
      <c r="J63" s="136" t="s">
        <v>112</v>
      </c>
      <c r="K63" s="136"/>
      <c r="L63" s="136"/>
      <c r="M63" s="136"/>
      <c r="N63" s="136"/>
      <c r="O63" s="136"/>
      <c r="P63" s="136"/>
      <c r="Q63" s="136"/>
      <c r="R63" s="136"/>
      <c r="S63" s="136"/>
      <c r="T63" s="5"/>
      <c r="U63" s="33"/>
    </row>
    <row r="64" spans="1:21" ht="10.5" hidden="1" customHeight="1" x14ac:dyDescent="0.3">
      <c r="A64" s="11">
        <v>1994</v>
      </c>
      <c r="B64" s="12">
        <v>195</v>
      </c>
      <c r="C64" s="12">
        <v>78</v>
      </c>
      <c r="D64" s="12">
        <v>21</v>
      </c>
      <c r="E64" s="12">
        <v>17</v>
      </c>
      <c r="F64" s="12">
        <v>7</v>
      </c>
      <c r="G64" s="12">
        <v>10</v>
      </c>
      <c r="H64" s="12">
        <v>9</v>
      </c>
      <c r="I64" s="12" t="s">
        <v>19</v>
      </c>
      <c r="J64" s="12">
        <v>16</v>
      </c>
      <c r="K64" s="12">
        <v>4</v>
      </c>
      <c r="L64" s="12">
        <v>6</v>
      </c>
      <c r="M64" s="12">
        <v>3</v>
      </c>
      <c r="N64" s="12">
        <v>7</v>
      </c>
      <c r="O64" s="12">
        <v>3</v>
      </c>
      <c r="P64" s="12">
        <v>4</v>
      </c>
      <c r="Q64" s="12">
        <v>8</v>
      </c>
      <c r="R64" s="12">
        <v>2</v>
      </c>
      <c r="S64" s="13">
        <v>1994</v>
      </c>
      <c r="T64" s="5"/>
      <c r="U64" s="33"/>
    </row>
    <row r="65" spans="1:21" ht="10.5" hidden="1" customHeight="1" x14ac:dyDescent="0.3">
      <c r="A65" s="11">
        <v>1995</v>
      </c>
      <c r="B65" s="12">
        <v>200</v>
      </c>
      <c r="C65" s="12">
        <v>76</v>
      </c>
      <c r="D65" s="12">
        <v>20</v>
      </c>
      <c r="E65" s="12">
        <v>18</v>
      </c>
      <c r="F65" s="12">
        <v>9</v>
      </c>
      <c r="G65" s="12">
        <v>10</v>
      </c>
      <c r="H65" s="12">
        <v>10</v>
      </c>
      <c r="I65" s="12" t="s">
        <v>19</v>
      </c>
      <c r="J65" s="12">
        <v>18</v>
      </c>
      <c r="K65" s="12">
        <v>4</v>
      </c>
      <c r="L65" s="12">
        <v>6</v>
      </c>
      <c r="M65" s="12">
        <v>4</v>
      </c>
      <c r="N65" s="12">
        <v>7</v>
      </c>
      <c r="O65" s="12">
        <v>3</v>
      </c>
      <c r="P65" s="12">
        <v>4</v>
      </c>
      <c r="Q65" s="12">
        <v>9</v>
      </c>
      <c r="R65" s="12">
        <v>2</v>
      </c>
      <c r="S65" s="13">
        <v>1995</v>
      </c>
      <c r="T65" s="5"/>
      <c r="U65" s="33"/>
    </row>
    <row r="66" spans="1:21" ht="10.5" hidden="1" customHeight="1" x14ac:dyDescent="0.3">
      <c r="A66" s="11">
        <v>1996</v>
      </c>
      <c r="B66" s="12">
        <v>259</v>
      </c>
      <c r="C66" s="12">
        <v>110</v>
      </c>
      <c r="D66" s="12">
        <v>23</v>
      </c>
      <c r="E66" s="12">
        <v>21</v>
      </c>
      <c r="F66" s="12">
        <v>10</v>
      </c>
      <c r="G66" s="12">
        <v>11</v>
      </c>
      <c r="H66" s="12">
        <v>11</v>
      </c>
      <c r="I66" s="12" t="s">
        <v>19</v>
      </c>
      <c r="J66" s="12">
        <v>23</v>
      </c>
      <c r="K66" s="12">
        <v>5</v>
      </c>
      <c r="L66" s="12">
        <v>6</v>
      </c>
      <c r="M66" s="12">
        <v>6</v>
      </c>
      <c r="N66" s="12">
        <v>8</v>
      </c>
      <c r="O66" s="12">
        <v>3</v>
      </c>
      <c r="P66" s="12">
        <v>7</v>
      </c>
      <c r="Q66" s="12">
        <v>13</v>
      </c>
      <c r="R66" s="12">
        <v>2</v>
      </c>
      <c r="S66" s="13">
        <v>1996</v>
      </c>
      <c r="T66" s="5"/>
      <c r="U66" s="33"/>
    </row>
    <row r="67" spans="1:21" ht="10.5" hidden="1" customHeight="1" x14ac:dyDescent="0.3">
      <c r="A67" s="11">
        <v>1997</v>
      </c>
      <c r="B67" s="12">
        <v>350</v>
      </c>
      <c r="C67" s="12">
        <v>143</v>
      </c>
      <c r="D67" s="12">
        <v>29</v>
      </c>
      <c r="E67" s="12">
        <v>27</v>
      </c>
      <c r="F67" s="12">
        <v>18</v>
      </c>
      <c r="G67" s="12">
        <v>14</v>
      </c>
      <c r="H67" s="12">
        <v>13</v>
      </c>
      <c r="I67" s="12">
        <v>6</v>
      </c>
      <c r="J67" s="12">
        <v>43</v>
      </c>
      <c r="K67" s="12">
        <v>5</v>
      </c>
      <c r="L67" s="12">
        <v>6</v>
      </c>
      <c r="M67" s="12">
        <v>6</v>
      </c>
      <c r="N67" s="12">
        <v>9</v>
      </c>
      <c r="O67" s="12">
        <v>6</v>
      </c>
      <c r="P67" s="12">
        <v>8</v>
      </c>
      <c r="Q67" s="12">
        <v>14</v>
      </c>
      <c r="R67" s="12">
        <v>3</v>
      </c>
      <c r="S67" s="13">
        <v>1997</v>
      </c>
      <c r="T67" s="5"/>
      <c r="U67" s="33"/>
    </row>
    <row r="68" spans="1:21" hidden="1" x14ac:dyDescent="0.3">
      <c r="A68" s="11">
        <v>1998</v>
      </c>
      <c r="B68" s="12">
        <v>234</v>
      </c>
      <c r="C68" s="12">
        <v>108</v>
      </c>
      <c r="D68" s="12">
        <v>28</v>
      </c>
      <c r="E68" s="12">
        <v>10</v>
      </c>
      <c r="F68" s="12">
        <v>7</v>
      </c>
      <c r="G68" s="12">
        <v>5</v>
      </c>
      <c r="H68" s="12">
        <v>13</v>
      </c>
      <c r="I68" s="12">
        <v>4</v>
      </c>
      <c r="J68" s="12">
        <v>24</v>
      </c>
      <c r="K68" s="12">
        <v>5</v>
      </c>
      <c r="L68" s="12">
        <v>7</v>
      </c>
      <c r="M68" s="12">
        <v>9</v>
      </c>
      <c r="N68" s="12">
        <v>3</v>
      </c>
      <c r="O68" s="12">
        <v>1</v>
      </c>
      <c r="P68" s="12">
        <v>3</v>
      </c>
      <c r="Q68" s="12">
        <v>6</v>
      </c>
      <c r="R68" s="12">
        <v>1</v>
      </c>
      <c r="S68" s="13">
        <v>1998</v>
      </c>
      <c r="T68" s="5"/>
      <c r="U68" s="33"/>
    </row>
    <row r="69" spans="1:21" ht="11.25" hidden="1" customHeight="1" x14ac:dyDescent="0.3">
      <c r="A69" s="11">
        <v>1999</v>
      </c>
      <c r="B69" s="56">
        <v>209</v>
      </c>
      <c r="C69" s="12">
        <v>100</v>
      </c>
      <c r="D69" s="12">
        <v>12</v>
      </c>
      <c r="E69" s="12">
        <v>10</v>
      </c>
      <c r="F69" s="12">
        <v>7</v>
      </c>
      <c r="G69" s="12">
        <v>5</v>
      </c>
      <c r="H69" s="12">
        <v>15</v>
      </c>
      <c r="I69" s="12">
        <v>2</v>
      </c>
      <c r="J69" s="12">
        <v>25</v>
      </c>
      <c r="K69" s="12">
        <v>5</v>
      </c>
      <c r="L69" s="12">
        <v>7</v>
      </c>
      <c r="M69" s="12">
        <v>8</v>
      </c>
      <c r="N69" s="12">
        <v>3</v>
      </c>
      <c r="O69" s="12">
        <v>2</v>
      </c>
      <c r="P69" s="12">
        <v>3</v>
      </c>
      <c r="Q69" s="12">
        <v>4</v>
      </c>
      <c r="R69" s="12">
        <v>1</v>
      </c>
      <c r="S69" s="13">
        <v>1999</v>
      </c>
      <c r="T69" s="5"/>
      <c r="U69" s="33"/>
    </row>
    <row r="70" spans="1:21" s="4" customFormat="1" ht="10.5" customHeight="1" x14ac:dyDescent="0.3">
      <c r="A70" s="14">
        <v>2000</v>
      </c>
      <c r="B70" s="32">
        <v>27</v>
      </c>
      <c r="C70" s="15">
        <v>28</v>
      </c>
      <c r="D70" s="54" t="s">
        <v>109</v>
      </c>
      <c r="E70" s="54" t="s">
        <v>109</v>
      </c>
      <c r="F70" s="54" t="s">
        <v>109</v>
      </c>
      <c r="G70" s="54" t="s">
        <v>109</v>
      </c>
      <c r="H70" s="15">
        <v>1</v>
      </c>
      <c r="I70" s="54" t="s">
        <v>109</v>
      </c>
      <c r="J70" s="54" t="s">
        <v>109</v>
      </c>
      <c r="K70" s="54" t="s">
        <v>109</v>
      </c>
      <c r="L70" s="54" t="s">
        <v>109</v>
      </c>
      <c r="M70" s="54" t="s">
        <v>109</v>
      </c>
      <c r="N70" s="54" t="s">
        <v>109</v>
      </c>
      <c r="O70" s="54" t="s">
        <v>109</v>
      </c>
      <c r="P70" s="54" t="s">
        <v>109</v>
      </c>
      <c r="Q70" s="54" t="s">
        <v>109</v>
      </c>
      <c r="R70" s="54" t="s">
        <v>109</v>
      </c>
      <c r="S70" s="16">
        <v>2000</v>
      </c>
      <c r="T70" s="5"/>
      <c r="U70" s="33"/>
    </row>
    <row r="71" spans="1:21" s="4" customFormat="1" ht="10.5" customHeight="1" x14ac:dyDescent="0.3">
      <c r="A71" s="14">
        <v>2001</v>
      </c>
      <c r="B71" s="32">
        <v>30</v>
      </c>
      <c r="C71" s="15">
        <v>29</v>
      </c>
      <c r="D71" s="54" t="s">
        <v>109</v>
      </c>
      <c r="E71" s="54" t="s">
        <v>109</v>
      </c>
      <c r="F71" s="54" t="s">
        <v>109</v>
      </c>
      <c r="G71" s="54" t="s">
        <v>109</v>
      </c>
      <c r="H71" s="15">
        <v>1</v>
      </c>
      <c r="I71" s="54" t="s">
        <v>109</v>
      </c>
      <c r="J71" s="54" t="s">
        <v>109</v>
      </c>
      <c r="K71" s="54" t="s">
        <v>109</v>
      </c>
      <c r="L71" s="54" t="s">
        <v>109</v>
      </c>
      <c r="M71" s="54" t="s">
        <v>109</v>
      </c>
      <c r="N71" s="54" t="s">
        <v>109</v>
      </c>
      <c r="O71" s="54" t="s">
        <v>109</v>
      </c>
      <c r="P71" s="54" t="s">
        <v>109</v>
      </c>
      <c r="Q71" s="54" t="s">
        <v>109</v>
      </c>
      <c r="R71" s="54" t="s">
        <v>109</v>
      </c>
      <c r="S71" s="16">
        <v>2001</v>
      </c>
      <c r="T71" s="5"/>
      <c r="U71" s="33"/>
    </row>
    <row r="72" spans="1:21" s="4" customFormat="1" ht="10.5" customHeight="1" x14ac:dyDescent="0.3">
      <c r="A72" s="14">
        <v>2002</v>
      </c>
      <c r="B72" s="32">
        <v>31</v>
      </c>
      <c r="C72" s="15">
        <v>30</v>
      </c>
      <c r="D72" s="54" t="s">
        <v>109</v>
      </c>
      <c r="E72" s="54" t="s">
        <v>109</v>
      </c>
      <c r="F72" s="54" t="s">
        <v>109</v>
      </c>
      <c r="G72" s="54" t="s">
        <v>109</v>
      </c>
      <c r="H72" s="15">
        <v>1</v>
      </c>
      <c r="I72" s="54" t="s">
        <v>109</v>
      </c>
      <c r="J72" s="54" t="s">
        <v>109</v>
      </c>
      <c r="K72" s="54" t="s">
        <v>109</v>
      </c>
      <c r="L72" s="54" t="s">
        <v>109</v>
      </c>
      <c r="M72" s="54" t="s">
        <v>109</v>
      </c>
      <c r="N72" s="54" t="s">
        <v>109</v>
      </c>
      <c r="O72" s="54" t="s">
        <v>109</v>
      </c>
      <c r="P72" s="54" t="s">
        <v>109</v>
      </c>
      <c r="Q72" s="54" t="s">
        <v>109</v>
      </c>
      <c r="R72" s="54" t="s">
        <v>109</v>
      </c>
      <c r="S72" s="16">
        <v>2002</v>
      </c>
      <c r="T72" s="5"/>
      <c r="U72" s="33"/>
    </row>
    <row r="73" spans="1:21" ht="6" customHeight="1" x14ac:dyDescent="0.3">
      <c r="A73" s="11" t="s">
        <v>1</v>
      </c>
      <c r="B73" s="56" t="s">
        <v>2</v>
      </c>
      <c r="C73" s="12" t="s">
        <v>3</v>
      </c>
      <c r="D73" s="54" t="s">
        <v>109</v>
      </c>
      <c r="E73" s="54" t="s">
        <v>109</v>
      </c>
      <c r="F73" s="54" t="s">
        <v>109</v>
      </c>
      <c r="G73" s="54" t="s">
        <v>109</v>
      </c>
      <c r="H73" s="12" t="s">
        <v>3</v>
      </c>
      <c r="I73" s="54" t="s">
        <v>109</v>
      </c>
      <c r="J73" s="54" t="s">
        <v>109</v>
      </c>
      <c r="K73" s="54" t="s">
        <v>109</v>
      </c>
      <c r="L73" s="54" t="s">
        <v>109</v>
      </c>
      <c r="M73" s="54" t="s">
        <v>109</v>
      </c>
      <c r="N73" s="54" t="s">
        <v>109</v>
      </c>
      <c r="O73" s="54" t="s">
        <v>109</v>
      </c>
      <c r="P73" s="54" t="s">
        <v>109</v>
      </c>
      <c r="Q73" s="54" t="s">
        <v>109</v>
      </c>
      <c r="R73" s="54" t="s">
        <v>109</v>
      </c>
      <c r="S73" s="13"/>
      <c r="T73" s="5"/>
      <c r="U73" s="33"/>
    </row>
    <row r="74" spans="1:21" s="4" customFormat="1" ht="10.5" customHeight="1" x14ac:dyDescent="0.3">
      <c r="A74" s="14">
        <v>2003</v>
      </c>
      <c r="B74" s="18">
        <v>35</v>
      </c>
      <c r="C74" s="18">
        <v>34</v>
      </c>
      <c r="D74" s="54" t="s">
        <v>109</v>
      </c>
      <c r="E74" s="54" t="s">
        <v>109</v>
      </c>
      <c r="F74" s="54" t="s">
        <v>109</v>
      </c>
      <c r="G74" s="54" t="s">
        <v>109</v>
      </c>
      <c r="H74" s="15">
        <v>1</v>
      </c>
      <c r="I74" s="54" t="s">
        <v>109</v>
      </c>
      <c r="J74" s="54" t="s">
        <v>109</v>
      </c>
      <c r="K74" s="54" t="s">
        <v>109</v>
      </c>
      <c r="L74" s="54" t="s">
        <v>109</v>
      </c>
      <c r="M74" s="54" t="s">
        <v>109</v>
      </c>
      <c r="N74" s="54" t="s">
        <v>109</v>
      </c>
      <c r="O74" s="54" t="s">
        <v>109</v>
      </c>
      <c r="P74" s="54" t="s">
        <v>109</v>
      </c>
      <c r="Q74" s="54" t="s">
        <v>109</v>
      </c>
      <c r="R74" s="54" t="s">
        <v>109</v>
      </c>
      <c r="S74" s="17">
        <v>2003</v>
      </c>
      <c r="T74" s="5"/>
      <c r="U74" s="33"/>
    </row>
    <row r="75" spans="1:21" s="30" customFormat="1" ht="10.5" customHeight="1" x14ac:dyDescent="0.3">
      <c r="A75" s="14">
        <v>2004</v>
      </c>
      <c r="B75" s="32">
        <v>34</v>
      </c>
      <c r="C75" s="15">
        <v>33</v>
      </c>
      <c r="D75" s="54" t="s">
        <v>109</v>
      </c>
      <c r="E75" s="54" t="s">
        <v>109</v>
      </c>
      <c r="F75" s="54" t="s">
        <v>109</v>
      </c>
      <c r="G75" s="54" t="s">
        <v>109</v>
      </c>
      <c r="H75" s="15">
        <v>1</v>
      </c>
      <c r="I75" s="54" t="s">
        <v>109</v>
      </c>
      <c r="J75" s="54" t="s">
        <v>109</v>
      </c>
      <c r="K75" s="54" t="s">
        <v>109</v>
      </c>
      <c r="L75" s="54" t="s">
        <v>109</v>
      </c>
      <c r="M75" s="54" t="s">
        <v>109</v>
      </c>
      <c r="N75" s="54" t="s">
        <v>109</v>
      </c>
      <c r="O75" s="54" t="s">
        <v>109</v>
      </c>
      <c r="P75" s="54" t="s">
        <v>109</v>
      </c>
      <c r="Q75" s="54" t="s">
        <v>109</v>
      </c>
      <c r="R75" s="54" t="s">
        <v>109</v>
      </c>
      <c r="S75" s="17">
        <v>2004</v>
      </c>
      <c r="T75" s="5"/>
      <c r="U75" s="33"/>
    </row>
    <row r="76" spans="1:21" s="30" customFormat="1" ht="10.5" customHeight="1" x14ac:dyDescent="0.3">
      <c r="A76" s="14">
        <v>2005</v>
      </c>
      <c r="B76" s="32">
        <v>30</v>
      </c>
      <c r="C76" s="15">
        <v>30</v>
      </c>
      <c r="D76" s="54" t="s">
        <v>109</v>
      </c>
      <c r="E76" s="54" t="s">
        <v>109</v>
      </c>
      <c r="F76" s="54" t="s">
        <v>109</v>
      </c>
      <c r="G76" s="54" t="s">
        <v>109</v>
      </c>
      <c r="H76" s="54" t="s">
        <v>109</v>
      </c>
      <c r="I76" s="54" t="s">
        <v>109</v>
      </c>
      <c r="J76" s="54" t="s">
        <v>109</v>
      </c>
      <c r="K76" s="54" t="s">
        <v>109</v>
      </c>
      <c r="L76" s="54" t="s">
        <v>109</v>
      </c>
      <c r="M76" s="54" t="s">
        <v>109</v>
      </c>
      <c r="N76" s="54" t="s">
        <v>109</v>
      </c>
      <c r="O76" s="54" t="s">
        <v>109</v>
      </c>
      <c r="P76" s="54" t="s">
        <v>109</v>
      </c>
      <c r="Q76" s="54" t="s">
        <v>109</v>
      </c>
      <c r="R76" s="54" t="s">
        <v>109</v>
      </c>
      <c r="S76" s="17">
        <v>2005</v>
      </c>
      <c r="T76" s="5"/>
      <c r="U76" s="33"/>
    </row>
    <row r="77" spans="1:21" s="53" customFormat="1" ht="10.5" customHeight="1" x14ac:dyDescent="0.3">
      <c r="A77" s="49">
        <v>2006</v>
      </c>
      <c r="B77" s="57">
        <v>30</v>
      </c>
      <c r="C77" s="50">
        <v>30</v>
      </c>
      <c r="D77" s="55" t="s">
        <v>109</v>
      </c>
      <c r="E77" s="55" t="s">
        <v>109</v>
      </c>
      <c r="F77" s="55" t="s">
        <v>109</v>
      </c>
      <c r="G77" s="55" t="s">
        <v>109</v>
      </c>
      <c r="H77" s="55" t="s">
        <v>109</v>
      </c>
      <c r="I77" s="55" t="s">
        <v>109</v>
      </c>
      <c r="J77" s="55" t="s">
        <v>109</v>
      </c>
      <c r="K77" s="55" t="s">
        <v>109</v>
      </c>
      <c r="L77" s="55" t="s">
        <v>109</v>
      </c>
      <c r="M77" s="55" t="s">
        <v>109</v>
      </c>
      <c r="N77" s="55" t="s">
        <v>109</v>
      </c>
      <c r="O77" s="55" t="s">
        <v>109</v>
      </c>
      <c r="P77" s="55" t="s">
        <v>109</v>
      </c>
      <c r="Q77" s="55" t="s">
        <v>109</v>
      </c>
      <c r="R77" s="55" t="s">
        <v>109</v>
      </c>
      <c r="S77" s="48">
        <v>2006</v>
      </c>
      <c r="T77" s="51"/>
      <c r="U77" s="51"/>
    </row>
    <row r="78" spans="1:21" ht="16.5" customHeight="1" x14ac:dyDescent="0.3">
      <c r="A78" s="133" t="s">
        <v>113</v>
      </c>
      <c r="B78" s="133"/>
      <c r="C78" s="133"/>
      <c r="D78" s="133"/>
      <c r="E78" s="133"/>
      <c r="F78" s="133"/>
      <c r="G78" s="133"/>
      <c r="H78" s="133"/>
      <c r="I78" s="133"/>
      <c r="J78" s="133" t="s">
        <v>114</v>
      </c>
      <c r="K78" s="133"/>
      <c r="L78" s="133"/>
      <c r="M78" s="133"/>
      <c r="N78" s="133"/>
      <c r="O78" s="133"/>
      <c r="P78" s="133"/>
      <c r="Q78" s="133"/>
      <c r="R78" s="133"/>
      <c r="S78" s="6"/>
      <c r="T78" s="5"/>
      <c r="U78" s="33"/>
    </row>
    <row r="79" spans="1:21" ht="10.5" hidden="1" customHeight="1" x14ac:dyDescent="0.3">
      <c r="A79" s="11">
        <v>1994</v>
      </c>
      <c r="B79" s="12">
        <v>336</v>
      </c>
      <c r="C79" s="12">
        <v>75</v>
      </c>
      <c r="D79" s="12">
        <v>38</v>
      </c>
      <c r="E79" s="12">
        <v>18</v>
      </c>
      <c r="F79" s="12">
        <v>17</v>
      </c>
      <c r="G79" s="12">
        <v>13</v>
      </c>
      <c r="H79" s="12">
        <v>8</v>
      </c>
      <c r="I79" s="12" t="s">
        <v>19</v>
      </c>
      <c r="J79" s="12">
        <v>44</v>
      </c>
      <c r="K79" s="12">
        <v>8</v>
      </c>
      <c r="L79" s="12">
        <v>10</v>
      </c>
      <c r="M79" s="12">
        <v>25</v>
      </c>
      <c r="N79" s="12">
        <v>14</v>
      </c>
      <c r="O79" s="12">
        <v>15</v>
      </c>
      <c r="P79" s="12">
        <v>29</v>
      </c>
      <c r="Q79" s="12">
        <v>15</v>
      </c>
      <c r="R79" s="12">
        <v>7</v>
      </c>
      <c r="S79" s="13">
        <v>1994</v>
      </c>
      <c r="T79" s="5"/>
      <c r="U79" s="33"/>
    </row>
    <row r="80" spans="1:21" ht="10.5" hidden="1" customHeight="1" x14ac:dyDescent="0.3">
      <c r="A80" s="11">
        <v>1995</v>
      </c>
      <c r="B80" s="12">
        <v>336</v>
      </c>
      <c r="C80" s="12">
        <v>75</v>
      </c>
      <c r="D80" s="12">
        <v>38</v>
      </c>
      <c r="E80" s="12">
        <v>18</v>
      </c>
      <c r="F80" s="12">
        <v>17</v>
      </c>
      <c r="G80" s="12">
        <v>13</v>
      </c>
      <c r="H80" s="12">
        <v>8</v>
      </c>
      <c r="I80" s="12" t="s">
        <v>19</v>
      </c>
      <c r="J80" s="12">
        <v>44</v>
      </c>
      <c r="K80" s="12">
        <v>8</v>
      </c>
      <c r="L80" s="12">
        <v>10</v>
      </c>
      <c r="M80" s="12">
        <v>25</v>
      </c>
      <c r="N80" s="12">
        <v>14</v>
      </c>
      <c r="O80" s="12">
        <v>15</v>
      </c>
      <c r="P80" s="12">
        <v>29</v>
      </c>
      <c r="Q80" s="12">
        <v>15</v>
      </c>
      <c r="R80" s="12">
        <v>7</v>
      </c>
      <c r="S80" s="13">
        <v>1995</v>
      </c>
      <c r="T80" s="5"/>
      <c r="U80" s="33"/>
    </row>
    <row r="81" spans="1:21" ht="10.5" hidden="1" customHeight="1" x14ac:dyDescent="0.3">
      <c r="A81" s="11">
        <v>1996</v>
      </c>
      <c r="B81" s="12">
        <v>336</v>
      </c>
      <c r="C81" s="12">
        <v>75</v>
      </c>
      <c r="D81" s="12">
        <v>38</v>
      </c>
      <c r="E81" s="12">
        <v>18</v>
      </c>
      <c r="F81" s="12">
        <v>17</v>
      </c>
      <c r="G81" s="12">
        <v>13</v>
      </c>
      <c r="H81" s="12">
        <v>8</v>
      </c>
      <c r="I81" s="12" t="s">
        <v>19</v>
      </c>
      <c r="J81" s="12">
        <v>44</v>
      </c>
      <c r="K81" s="12">
        <v>8</v>
      </c>
      <c r="L81" s="12">
        <v>10</v>
      </c>
      <c r="M81" s="12">
        <v>25</v>
      </c>
      <c r="N81" s="12">
        <v>14</v>
      </c>
      <c r="O81" s="12">
        <v>15</v>
      </c>
      <c r="P81" s="12">
        <v>29</v>
      </c>
      <c r="Q81" s="12">
        <v>15</v>
      </c>
      <c r="R81" s="12">
        <v>7</v>
      </c>
      <c r="S81" s="13">
        <v>1996</v>
      </c>
      <c r="T81" s="5"/>
      <c r="U81" s="33"/>
    </row>
    <row r="82" spans="1:21" ht="10.5" hidden="1" customHeight="1" x14ac:dyDescent="0.3">
      <c r="A82" s="11">
        <v>1997</v>
      </c>
      <c r="B82" s="12">
        <v>341</v>
      </c>
      <c r="C82" s="12">
        <v>76</v>
      </c>
      <c r="D82" s="12">
        <v>39</v>
      </c>
      <c r="E82" s="12">
        <v>19</v>
      </c>
      <c r="F82" s="12">
        <v>17</v>
      </c>
      <c r="G82" s="12">
        <v>15</v>
      </c>
      <c r="H82" s="12">
        <v>9</v>
      </c>
      <c r="I82" s="12">
        <v>2</v>
      </c>
      <c r="J82" s="12">
        <v>44</v>
      </c>
      <c r="K82" s="12">
        <v>8</v>
      </c>
      <c r="L82" s="12">
        <v>10</v>
      </c>
      <c r="M82" s="12">
        <v>24</v>
      </c>
      <c r="N82" s="12">
        <v>14</v>
      </c>
      <c r="O82" s="12">
        <v>15</v>
      </c>
      <c r="P82" s="12">
        <v>29</v>
      </c>
      <c r="Q82" s="12">
        <v>13</v>
      </c>
      <c r="R82" s="12">
        <v>7</v>
      </c>
      <c r="S82" s="13">
        <v>1997</v>
      </c>
      <c r="T82" s="5"/>
      <c r="U82" s="33"/>
    </row>
    <row r="83" spans="1:21" ht="10.5" hidden="1" customHeight="1" x14ac:dyDescent="0.3">
      <c r="A83" s="11">
        <v>1998</v>
      </c>
      <c r="B83" s="12">
        <v>312</v>
      </c>
      <c r="C83" s="12">
        <v>74</v>
      </c>
      <c r="D83" s="12">
        <v>37</v>
      </c>
      <c r="E83" s="12">
        <v>18</v>
      </c>
      <c r="F83" s="12">
        <v>17</v>
      </c>
      <c r="G83" s="12">
        <v>11</v>
      </c>
      <c r="H83" s="12">
        <v>7</v>
      </c>
      <c r="I83" s="12">
        <v>1</v>
      </c>
      <c r="J83" s="12">
        <v>41</v>
      </c>
      <c r="K83" s="12">
        <v>8</v>
      </c>
      <c r="L83" s="12">
        <v>9</v>
      </c>
      <c r="M83" s="12">
        <v>22</v>
      </c>
      <c r="N83" s="12">
        <v>14</v>
      </c>
      <c r="O83" s="12">
        <v>13</v>
      </c>
      <c r="P83" s="12">
        <v>19</v>
      </c>
      <c r="Q83" s="12">
        <v>14</v>
      </c>
      <c r="R83" s="12">
        <v>7</v>
      </c>
      <c r="S83" s="13">
        <v>1998</v>
      </c>
      <c r="T83" s="5"/>
      <c r="U83" s="33"/>
    </row>
    <row r="84" spans="1:21" ht="10.5" hidden="1" customHeight="1" x14ac:dyDescent="0.3">
      <c r="A84" s="11">
        <v>1999</v>
      </c>
      <c r="B84" s="12">
        <v>278</v>
      </c>
      <c r="C84" s="12">
        <v>70</v>
      </c>
      <c r="D84" s="12">
        <v>32</v>
      </c>
      <c r="E84" s="12">
        <v>11</v>
      </c>
      <c r="F84" s="12">
        <v>16</v>
      </c>
      <c r="G84" s="12">
        <v>8</v>
      </c>
      <c r="H84" s="12">
        <v>5</v>
      </c>
      <c r="I84" s="12">
        <v>2</v>
      </c>
      <c r="J84" s="12">
        <v>41</v>
      </c>
      <c r="K84" s="12">
        <v>8</v>
      </c>
      <c r="L84" s="12">
        <v>9</v>
      </c>
      <c r="M84" s="12">
        <v>14</v>
      </c>
      <c r="N84" s="12">
        <v>13</v>
      </c>
      <c r="O84" s="12">
        <v>12</v>
      </c>
      <c r="P84" s="12">
        <v>17</v>
      </c>
      <c r="Q84" s="12">
        <v>13</v>
      </c>
      <c r="R84" s="12">
        <v>7</v>
      </c>
      <c r="S84" s="13">
        <v>1999</v>
      </c>
      <c r="T84" s="5"/>
      <c r="U84" s="33"/>
    </row>
    <row r="85" spans="1:21" ht="10.5" customHeight="1" x14ac:dyDescent="0.3">
      <c r="A85" s="11">
        <v>2000</v>
      </c>
      <c r="B85" s="12">
        <v>265</v>
      </c>
      <c r="C85" s="12">
        <v>74</v>
      </c>
      <c r="D85" s="12">
        <v>31</v>
      </c>
      <c r="E85" s="12">
        <v>10</v>
      </c>
      <c r="F85" s="12">
        <v>20</v>
      </c>
      <c r="G85" s="12">
        <v>6</v>
      </c>
      <c r="H85" s="12">
        <v>12</v>
      </c>
      <c r="I85" s="12">
        <v>1</v>
      </c>
      <c r="J85" s="12">
        <v>33</v>
      </c>
      <c r="K85" s="12">
        <v>7</v>
      </c>
      <c r="L85" s="12">
        <v>9</v>
      </c>
      <c r="M85" s="12">
        <v>7</v>
      </c>
      <c r="N85" s="12">
        <v>13</v>
      </c>
      <c r="O85" s="12">
        <v>9</v>
      </c>
      <c r="P85" s="12">
        <v>14</v>
      </c>
      <c r="Q85" s="12">
        <v>13</v>
      </c>
      <c r="R85" s="12">
        <v>6</v>
      </c>
      <c r="S85" s="13">
        <v>2000</v>
      </c>
      <c r="T85" s="5"/>
      <c r="U85" s="33"/>
    </row>
    <row r="86" spans="1:21" ht="10.5" customHeight="1" x14ac:dyDescent="0.3">
      <c r="A86" s="11">
        <v>2001</v>
      </c>
      <c r="B86" s="12">
        <v>227</v>
      </c>
      <c r="C86" s="12">
        <v>56</v>
      </c>
      <c r="D86" s="12">
        <v>25</v>
      </c>
      <c r="E86" s="12">
        <v>7</v>
      </c>
      <c r="F86" s="12">
        <v>16</v>
      </c>
      <c r="G86" s="12">
        <v>6</v>
      </c>
      <c r="H86" s="12">
        <v>8</v>
      </c>
      <c r="I86" s="54" t="s">
        <v>109</v>
      </c>
      <c r="J86" s="12">
        <v>27</v>
      </c>
      <c r="K86" s="12">
        <v>8</v>
      </c>
      <c r="L86" s="12">
        <v>9</v>
      </c>
      <c r="M86" s="12">
        <v>6</v>
      </c>
      <c r="N86" s="12">
        <v>13</v>
      </c>
      <c r="O86" s="12">
        <v>15</v>
      </c>
      <c r="P86" s="12">
        <v>15</v>
      </c>
      <c r="Q86" s="12">
        <v>11</v>
      </c>
      <c r="R86" s="12">
        <v>5</v>
      </c>
      <c r="S86" s="13">
        <v>2001</v>
      </c>
      <c r="T86" s="5"/>
      <c r="U86" s="33"/>
    </row>
    <row r="87" spans="1:21" ht="10.5" customHeight="1" x14ac:dyDescent="0.3">
      <c r="A87" s="11">
        <v>2002</v>
      </c>
      <c r="B87" s="12">
        <v>234</v>
      </c>
      <c r="C87" s="12">
        <v>63</v>
      </c>
      <c r="D87" s="12">
        <v>25</v>
      </c>
      <c r="E87" s="12">
        <v>8</v>
      </c>
      <c r="F87" s="12">
        <v>16</v>
      </c>
      <c r="G87" s="12">
        <v>6</v>
      </c>
      <c r="H87" s="12">
        <v>8</v>
      </c>
      <c r="I87" s="54" t="s">
        <v>109</v>
      </c>
      <c r="J87" s="12">
        <v>22</v>
      </c>
      <c r="K87" s="12">
        <v>8</v>
      </c>
      <c r="L87" s="12">
        <v>10</v>
      </c>
      <c r="M87" s="12">
        <v>6</v>
      </c>
      <c r="N87" s="12">
        <v>12</v>
      </c>
      <c r="O87" s="12">
        <v>16</v>
      </c>
      <c r="P87" s="12">
        <v>14</v>
      </c>
      <c r="Q87" s="12">
        <v>12</v>
      </c>
      <c r="R87" s="12">
        <v>8</v>
      </c>
      <c r="S87" s="13">
        <v>2002</v>
      </c>
      <c r="T87" s="5"/>
      <c r="U87" s="33"/>
    </row>
    <row r="88" spans="1:21" ht="6" customHeight="1" x14ac:dyDescent="0.3">
      <c r="A88" s="11" t="s">
        <v>1</v>
      </c>
      <c r="B88" s="12" t="s">
        <v>2</v>
      </c>
      <c r="C88" s="12" t="s">
        <v>3</v>
      </c>
      <c r="D88" s="12" t="s">
        <v>3</v>
      </c>
      <c r="E88" s="12" t="s">
        <v>3</v>
      </c>
      <c r="F88" s="12" t="s">
        <v>3</v>
      </c>
      <c r="G88" s="12" t="s">
        <v>3</v>
      </c>
      <c r="H88" s="12" t="s">
        <v>3</v>
      </c>
      <c r="I88" s="12" t="s">
        <v>3</v>
      </c>
      <c r="J88" s="12" t="s">
        <v>0</v>
      </c>
      <c r="K88" s="12" t="s">
        <v>0</v>
      </c>
      <c r="L88" s="12" t="s">
        <v>0</v>
      </c>
      <c r="M88" s="12" t="s">
        <v>0</v>
      </c>
      <c r="N88" s="12" t="s">
        <v>0</v>
      </c>
      <c r="O88" s="12" t="s">
        <v>0</v>
      </c>
      <c r="P88" s="12" t="s">
        <v>0</v>
      </c>
      <c r="Q88" s="12" t="s">
        <v>0</v>
      </c>
      <c r="R88" s="12" t="s">
        <v>0</v>
      </c>
      <c r="S88" s="13"/>
      <c r="T88" s="5"/>
      <c r="U88" s="33"/>
    </row>
    <row r="89" spans="1:21" ht="10.5" customHeight="1" x14ac:dyDescent="0.3">
      <c r="A89" s="28" t="s">
        <v>115</v>
      </c>
      <c r="B89" s="12">
        <v>241</v>
      </c>
      <c r="C89" s="12">
        <v>74</v>
      </c>
      <c r="D89" s="12">
        <v>25</v>
      </c>
      <c r="E89" s="12">
        <v>6</v>
      </c>
      <c r="F89" s="12">
        <v>11</v>
      </c>
      <c r="G89" s="12">
        <v>10</v>
      </c>
      <c r="H89" s="12">
        <v>4</v>
      </c>
      <c r="I89" s="12">
        <v>2</v>
      </c>
      <c r="J89" s="12">
        <v>28</v>
      </c>
      <c r="K89" s="12">
        <v>8</v>
      </c>
      <c r="L89" s="12">
        <v>10</v>
      </c>
      <c r="M89" s="12">
        <v>13</v>
      </c>
      <c r="N89" s="12">
        <v>12</v>
      </c>
      <c r="O89" s="12">
        <v>9</v>
      </c>
      <c r="P89" s="12">
        <v>15</v>
      </c>
      <c r="Q89" s="12">
        <v>10</v>
      </c>
      <c r="R89" s="12">
        <v>4</v>
      </c>
      <c r="S89" s="13">
        <v>2003</v>
      </c>
      <c r="T89" s="5"/>
      <c r="U89" s="33"/>
    </row>
    <row r="90" spans="1:21" s="30" customFormat="1" ht="10.5" customHeight="1" x14ac:dyDescent="0.3">
      <c r="A90" s="14">
        <v>2004</v>
      </c>
      <c r="B90" s="15">
        <v>246</v>
      </c>
      <c r="C90" s="15">
        <v>77</v>
      </c>
      <c r="D90" s="15">
        <v>25</v>
      </c>
      <c r="E90" s="15">
        <v>6</v>
      </c>
      <c r="F90" s="15">
        <v>11</v>
      </c>
      <c r="G90" s="15">
        <v>10</v>
      </c>
      <c r="H90" s="15">
        <v>4</v>
      </c>
      <c r="I90" s="15">
        <v>2</v>
      </c>
      <c r="J90" s="15">
        <v>33</v>
      </c>
      <c r="K90" s="15">
        <v>8</v>
      </c>
      <c r="L90" s="15">
        <v>10</v>
      </c>
      <c r="M90" s="15">
        <v>13</v>
      </c>
      <c r="N90" s="15">
        <v>12</v>
      </c>
      <c r="O90" s="15">
        <v>7</v>
      </c>
      <c r="P90" s="15">
        <v>15</v>
      </c>
      <c r="Q90" s="15">
        <v>9</v>
      </c>
      <c r="R90" s="15">
        <v>4</v>
      </c>
      <c r="S90" s="17">
        <v>2004</v>
      </c>
      <c r="T90" s="34"/>
      <c r="U90" s="35"/>
    </row>
    <row r="91" spans="1:21" s="30" customFormat="1" ht="10.5" customHeight="1" x14ac:dyDescent="0.3">
      <c r="A91" s="14">
        <v>2005</v>
      </c>
      <c r="B91" s="15">
        <v>256</v>
      </c>
      <c r="C91" s="15">
        <v>83</v>
      </c>
      <c r="D91" s="15">
        <v>24</v>
      </c>
      <c r="E91" s="15">
        <v>6</v>
      </c>
      <c r="F91" s="15">
        <v>11</v>
      </c>
      <c r="G91" s="15">
        <v>10</v>
      </c>
      <c r="H91" s="15">
        <v>4</v>
      </c>
      <c r="I91" s="15">
        <v>2</v>
      </c>
      <c r="J91" s="15">
        <v>36</v>
      </c>
      <c r="K91" s="15">
        <v>8</v>
      </c>
      <c r="L91" s="15">
        <v>10</v>
      </c>
      <c r="M91" s="15">
        <v>13</v>
      </c>
      <c r="N91" s="15">
        <v>12</v>
      </c>
      <c r="O91" s="15">
        <v>7</v>
      </c>
      <c r="P91" s="15">
        <v>16</v>
      </c>
      <c r="Q91" s="15">
        <v>10</v>
      </c>
      <c r="R91" s="15">
        <v>4</v>
      </c>
      <c r="S91" s="17">
        <v>2005</v>
      </c>
      <c r="T91" s="34"/>
      <c r="U91" s="35"/>
    </row>
    <row r="92" spans="1:21" s="53" customFormat="1" ht="10.5" customHeight="1" x14ac:dyDescent="0.3">
      <c r="A92" s="49">
        <v>2006</v>
      </c>
      <c r="B92" s="50">
        <v>256</v>
      </c>
      <c r="C92" s="50">
        <v>83</v>
      </c>
      <c r="D92" s="50">
        <v>24</v>
      </c>
      <c r="E92" s="50">
        <v>6</v>
      </c>
      <c r="F92" s="50">
        <v>11</v>
      </c>
      <c r="G92" s="50">
        <v>10</v>
      </c>
      <c r="H92" s="50">
        <v>4</v>
      </c>
      <c r="I92" s="50">
        <v>2</v>
      </c>
      <c r="J92" s="50">
        <v>36</v>
      </c>
      <c r="K92" s="50">
        <v>8</v>
      </c>
      <c r="L92" s="50">
        <v>10</v>
      </c>
      <c r="M92" s="50">
        <v>13</v>
      </c>
      <c r="N92" s="50">
        <v>12</v>
      </c>
      <c r="O92" s="50">
        <v>7</v>
      </c>
      <c r="P92" s="50">
        <v>16</v>
      </c>
      <c r="Q92" s="50">
        <v>10</v>
      </c>
      <c r="R92" s="50">
        <v>4</v>
      </c>
      <c r="S92" s="48">
        <v>2006</v>
      </c>
      <c r="T92" s="58"/>
      <c r="U92" s="58"/>
    </row>
    <row r="93" spans="1:21" ht="5.25" customHeight="1" x14ac:dyDescent="0.3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4"/>
    </row>
    <row r="94" spans="1:21" ht="11.15" customHeight="1" x14ac:dyDescent="0.3">
      <c r="A94" s="25" t="s">
        <v>116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6"/>
    </row>
    <row r="95" spans="1:21" ht="11.15" customHeight="1" x14ac:dyDescent="0.3">
      <c r="A95" s="25" t="s">
        <v>117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6"/>
    </row>
    <row r="96" spans="1:21" ht="11.15" customHeight="1" x14ac:dyDescent="0.3">
      <c r="A96" s="25" t="s">
        <v>118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6"/>
    </row>
    <row r="97" spans="1:20" ht="11.15" customHeight="1" x14ac:dyDescent="0.3">
      <c r="A97" s="25" t="s">
        <v>119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6"/>
    </row>
    <row r="98" spans="1:20" ht="11.15" customHeight="1" x14ac:dyDescent="0.3">
      <c r="A98" s="25" t="s">
        <v>120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6"/>
    </row>
    <row r="99" spans="1:20" x14ac:dyDescent="0.3">
      <c r="A99" s="29" t="s">
        <v>121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6"/>
    </row>
    <row r="100" spans="1:20" x14ac:dyDescent="0.3">
      <c r="A100" s="29" t="s">
        <v>122</v>
      </c>
    </row>
    <row r="101" spans="1:20" ht="14.25" customHeight="1" x14ac:dyDescent="0.3">
      <c r="A101" s="133" t="s">
        <v>123</v>
      </c>
      <c r="B101" s="133"/>
      <c r="C101" s="133"/>
      <c r="D101" s="133"/>
      <c r="E101" s="133"/>
      <c r="F101" s="133"/>
      <c r="G101" s="133"/>
      <c r="H101" s="133"/>
      <c r="I101" s="133"/>
      <c r="J101" s="136" t="s">
        <v>29</v>
      </c>
      <c r="K101" s="136"/>
      <c r="L101" s="136"/>
      <c r="M101" s="136"/>
      <c r="N101" s="136"/>
      <c r="O101" s="136"/>
      <c r="P101" s="136"/>
      <c r="Q101" s="136"/>
      <c r="R101" s="136"/>
      <c r="S101" s="136"/>
      <c r="T101" s="5"/>
    </row>
    <row r="102" spans="1:20" ht="10.5" hidden="1" customHeight="1" x14ac:dyDescent="0.3">
      <c r="A102" s="11">
        <v>1994</v>
      </c>
      <c r="B102" s="12">
        <v>85</v>
      </c>
      <c r="C102" s="12">
        <v>35</v>
      </c>
      <c r="D102" s="12">
        <v>7</v>
      </c>
      <c r="E102" s="12">
        <v>4</v>
      </c>
      <c r="F102" s="12">
        <v>4</v>
      </c>
      <c r="G102" s="12">
        <v>3</v>
      </c>
      <c r="H102" s="12">
        <v>3</v>
      </c>
      <c r="I102" s="12" t="s">
        <v>19</v>
      </c>
      <c r="J102" s="12">
        <v>9</v>
      </c>
      <c r="K102" s="12">
        <v>2</v>
      </c>
      <c r="L102" s="12">
        <v>2</v>
      </c>
      <c r="M102" s="12">
        <v>2</v>
      </c>
      <c r="N102" s="12">
        <v>2</v>
      </c>
      <c r="O102" s="12">
        <v>3</v>
      </c>
      <c r="P102" s="12">
        <v>2</v>
      </c>
      <c r="Q102" s="12">
        <v>7</v>
      </c>
      <c r="R102" s="12" t="s">
        <v>20</v>
      </c>
      <c r="S102" s="13">
        <v>1994</v>
      </c>
      <c r="T102" s="5"/>
    </row>
    <row r="103" spans="1:20" ht="0.75" hidden="1" customHeight="1" x14ac:dyDescent="0.3">
      <c r="A103" s="11">
        <v>1995</v>
      </c>
      <c r="B103" s="12">
        <v>92</v>
      </c>
      <c r="C103" s="12">
        <v>39</v>
      </c>
      <c r="D103" s="12">
        <v>7</v>
      </c>
      <c r="E103" s="12">
        <v>4</v>
      </c>
      <c r="F103" s="12">
        <v>4</v>
      </c>
      <c r="G103" s="12">
        <v>4</v>
      </c>
      <c r="H103" s="12">
        <v>3</v>
      </c>
      <c r="I103" s="12" t="s">
        <v>19</v>
      </c>
      <c r="J103" s="12">
        <v>11</v>
      </c>
      <c r="K103" s="12">
        <v>2</v>
      </c>
      <c r="L103" s="12">
        <v>2</v>
      </c>
      <c r="M103" s="12">
        <v>2</v>
      </c>
      <c r="N103" s="12">
        <v>2</v>
      </c>
      <c r="O103" s="12">
        <v>3</v>
      </c>
      <c r="P103" s="12">
        <v>2</v>
      </c>
      <c r="Q103" s="12">
        <v>7</v>
      </c>
      <c r="R103" s="12" t="s">
        <v>20</v>
      </c>
      <c r="S103" s="13">
        <v>1995</v>
      </c>
      <c r="T103" s="5"/>
    </row>
    <row r="104" spans="1:20" ht="10.5" hidden="1" customHeight="1" x14ac:dyDescent="0.3">
      <c r="A104" s="11">
        <v>1996</v>
      </c>
      <c r="B104" s="12">
        <v>94</v>
      </c>
      <c r="C104" s="12">
        <v>39</v>
      </c>
      <c r="D104" s="12">
        <v>7</v>
      </c>
      <c r="E104" s="12">
        <v>4</v>
      </c>
      <c r="F104" s="12">
        <v>5</v>
      </c>
      <c r="G104" s="12">
        <v>4</v>
      </c>
      <c r="H104" s="12">
        <v>3</v>
      </c>
      <c r="I104" s="12" t="s">
        <v>19</v>
      </c>
      <c r="J104" s="12">
        <v>12</v>
      </c>
      <c r="K104" s="12">
        <v>2</v>
      </c>
      <c r="L104" s="12">
        <v>2</v>
      </c>
      <c r="M104" s="12">
        <v>2</v>
      </c>
      <c r="N104" s="12">
        <v>2</v>
      </c>
      <c r="O104" s="12">
        <v>3</v>
      </c>
      <c r="P104" s="12">
        <v>2</v>
      </c>
      <c r="Q104" s="12">
        <v>7</v>
      </c>
      <c r="R104" s="12" t="s">
        <v>20</v>
      </c>
      <c r="S104" s="13">
        <v>1996</v>
      </c>
      <c r="T104" s="5"/>
    </row>
    <row r="105" spans="1:20" ht="10.5" customHeight="1" x14ac:dyDescent="0.3">
      <c r="A105" s="11">
        <v>1997</v>
      </c>
      <c r="B105" s="12">
        <v>98</v>
      </c>
      <c r="C105" s="12">
        <v>42</v>
      </c>
      <c r="D105" s="12">
        <v>6</v>
      </c>
      <c r="E105" s="12">
        <v>4</v>
      </c>
      <c r="F105" s="12">
        <v>4</v>
      </c>
      <c r="G105" s="12">
        <v>4</v>
      </c>
      <c r="H105" s="12">
        <v>4</v>
      </c>
      <c r="I105" s="12">
        <v>3</v>
      </c>
      <c r="J105" s="12">
        <v>14</v>
      </c>
      <c r="K105" s="12">
        <v>2</v>
      </c>
      <c r="L105" s="12">
        <v>2</v>
      </c>
      <c r="M105" s="12">
        <v>2</v>
      </c>
      <c r="N105" s="12">
        <v>2</v>
      </c>
      <c r="O105" s="12">
        <v>3</v>
      </c>
      <c r="P105" s="12">
        <v>2</v>
      </c>
      <c r="Q105" s="12">
        <v>4</v>
      </c>
      <c r="R105" s="20" t="s">
        <v>20</v>
      </c>
      <c r="S105" s="13">
        <v>1997</v>
      </c>
      <c r="T105" s="5"/>
    </row>
    <row r="106" spans="1:20" ht="10.5" customHeight="1" x14ac:dyDescent="0.3">
      <c r="A106" s="11">
        <v>1998</v>
      </c>
      <c r="B106" s="12">
        <v>49</v>
      </c>
      <c r="C106" s="12">
        <v>14</v>
      </c>
      <c r="D106" s="12">
        <v>3</v>
      </c>
      <c r="E106" s="12">
        <v>3</v>
      </c>
      <c r="F106" s="12">
        <v>2</v>
      </c>
      <c r="G106" s="12">
        <v>3</v>
      </c>
      <c r="H106" s="12">
        <v>1</v>
      </c>
      <c r="I106" s="12">
        <v>2</v>
      </c>
      <c r="J106" s="12">
        <v>7</v>
      </c>
      <c r="K106" s="12">
        <v>1</v>
      </c>
      <c r="L106" s="12">
        <v>2</v>
      </c>
      <c r="M106" s="12">
        <v>1</v>
      </c>
      <c r="N106" s="12">
        <v>2</v>
      </c>
      <c r="O106" s="12">
        <v>3</v>
      </c>
      <c r="P106" s="12">
        <v>2</v>
      </c>
      <c r="Q106" s="12">
        <v>3</v>
      </c>
      <c r="R106" s="20" t="s">
        <v>20</v>
      </c>
      <c r="S106" s="13">
        <v>1998</v>
      </c>
      <c r="T106" s="5"/>
    </row>
    <row r="107" spans="1:20" ht="10.5" customHeight="1" x14ac:dyDescent="0.3">
      <c r="A107" s="11">
        <v>1999</v>
      </c>
      <c r="B107" s="12">
        <v>43</v>
      </c>
      <c r="C107" s="12">
        <v>11</v>
      </c>
      <c r="D107" s="12">
        <v>3</v>
      </c>
      <c r="E107" s="12">
        <v>3</v>
      </c>
      <c r="F107" s="12">
        <v>2</v>
      </c>
      <c r="G107" s="12">
        <v>3</v>
      </c>
      <c r="H107" s="12">
        <v>1</v>
      </c>
      <c r="I107" s="12">
        <v>1</v>
      </c>
      <c r="J107" s="12">
        <v>5</v>
      </c>
      <c r="K107" s="12">
        <v>1</v>
      </c>
      <c r="L107" s="12">
        <v>2</v>
      </c>
      <c r="M107" s="12">
        <v>1</v>
      </c>
      <c r="N107" s="12">
        <v>2</v>
      </c>
      <c r="O107" s="12">
        <v>3</v>
      </c>
      <c r="P107" s="12">
        <v>2</v>
      </c>
      <c r="Q107" s="12">
        <v>3</v>
      </c>
      <c r="R107" s="20" t="s">
        <v>20</v>
      </c>
      <c r="S107" s="13">
        <v>1999</v>
      </c>
      <c r="T107" s="5"/>
    </row>
    <row r="108" spans="1:20" ht="6" customHeight="1" x14ac:dyDescent="0.3">
      <c r="A108" s="11" t="s">
        <v>1</v>
      </c>
      <c r="B108" s="12" t="s">
        <v>2</v>
      </c>
      <c r="C108" s="12" t="s">
        <v>3</v>
      </c>
      <c r="D108" s="12" t="s">
        <v>3</v>
      </c>
      <c r="E108" s="12" t="s">
        <v>3</v>
      </c>
      <c r="F108" s="12" t="s">
        <v>3</v>
      </c>
      <c r="G108" s="12" t="s">
        <v>3</v>
      </c>
      <c r="H108" s="12" t="s">
        <v>3</v>
      </c>
      <c r="I108" s="12" t="s">
        <v>3</v>
      </c>
      <c r="J108" s="12" t="s">
        <v>0</v>
      </c>
      <c r="K108" s="12" t="s">
        <v>0</v>
      </c>
      <c r="L108" s="12" t="s">
        <v>0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20" t="s">
        <v>0</v>
      </c>
      <c r="S108" s="13"/>
      <c r="T108" s="5"/>
    </row>
    <row r="109" spans="1:20" ht="10.5" customHeight="1" x14ac:dyDescent="0.3">
      <c r="A109" s="11">
        <v>2000</v>
      </c>
      <c r="B109" s="12">
        <v>43</v>
      </c>
      <c r="C109" s="12">
        <v>11</v>
      </c>
      <c r="D109" s="12">
        <v>3</v>
      </c>
      <c r="E109" s="12">
        <v>3</v>
      </c>
      <c r="F109" s="12">
        <v>2</v>
      </c>
      <c r="G109" s="12">
        <v>3</v>
      </c>
      <c r="H109" s="12">
        <v>1</v>
      </c>
      <c r="I109" s="12">
        <v>1</v>
      </c>
      <c r="J109" s="12">
        <v>5</v>
      </c>
      <c r="K109" s="12">
        <v>1</v>
      </c>
      <c r="L109" s="12">
        <v>2</v>
      </c>
      <c r="M109" s="12">
        <v>1</v>
      </c>
      <c r="N109" s="12">
        <v>2</v>
      </c>
      <c r="O109" s="12">
        <v>3</v>
      </c>
      <c r="P109" s="12">
        <v>2</v>
      </c>
      <c r="Q109" s="12">
        <v>3</v>
      </c>
      <c r="R109" s="20" t="s">
        <v>20</v>
      </c>
      <c r="S109" s="13">
        <v>2000</v>
      </c>
      <c r="T109" s="5"/>
    </row>
    <row r="110" spans="1:20" ht="10.5" customHeight="1" x14ac:dyDescent="0.3">
      <c r="A110" s="11">
        <v>2001</v>
      </c>
      <c r="B110" s="12">
        <v>45</v>
      </c>
      <c r="C110" s="12">
        <v>12</v>
      </c>
      <c r="D110" s="12">
        <v>3</v>
      </c>
      <c r="E110" s="12">
        <v>3</v>
      </c>
      <c r="F110" s="12">
        <v>2</v>
      </c>
      <c r="G110" s="12">
        <v>3</v>
      </c>
      <c r="H110" s="12">
        <v>2</v>
      </c>
      <c r="I110" s="12">
        <v>1</v>
      </c>
      <c r="J110" s="12">
        <v>5</v>
      </c>
      <c r="K110" s="12">
        <v>1</v>
      </c>
      <c r="L110" s="12">
        <v>2</v>
      </c>
      <c r="M110" s="12">
        <v>1</v>
      </c>
      <c r="N110" s="12">
        <v>2</v>
      </c>
      <c r="O110" s="12">
        <v>2</v>
      </c>
      <c r="P110" s="12">
        <v>2</v>
      </c>
      <c r="Q110" s="12">
        <v>3</v>
      </c>
      <c r="R110" s="12">
        <v>1</v>
      </c>
      <c r="S110" s="13">
        <v>2001</v>
      </c>
      <c r="T110" s="5"/>
    </row>
    <row r="111" spans="1:20" ht="10.5" customHeight="1" x14ac:dyDescent="0.3">
      <c r="A111" s="11">
        <v>2002</v>
      </c>
      <c r="B111" s="12">
        <f>SUM(C111:R111)</f>
        <v>7</v>
      </c>
      <c r="C111" s="12">
        <v>1</v>
      </c>
      <c r="D111" s="12">
        <v>1</v>
      </c>
      <c r="E111" s="12">
        <v>1</v>
      </c>
      <c r="F111" s="12">
        <v>1</v>
      </c>
      <c r="G111" s="12">
        <v>1</v>
      </c>
      <c r="H111" s="12">
        <v>1</v>
      </c>
      <c r="I111" s="20" t="s">
        <v>20</v>
      </c>
      <c r="J111" s="20" t="s">
        <v>20</v>
      </c>
      <c r="K111" s="20" t="s">
        <v>20</v>
      </c>
      <c r="L111" s="20" t="s">
        <v>20</v>
      </c>
      <c r="M111" s="20" t="s">
        <v>20</v>
      </c>
      <c r="N111" s="12" t="s">
        <v>20</v>
      </c>
      <c r="O111" s="12" t="s">
        <v>20</v>
      </c>
      <c r="P111" s="20" t="s">
        <v>20</v>
      </c>
      <c r="Q111" s="12">
        <v>1</v>
      </c>
      <c r="R111" s="20" t="s">
        <v>20</v>
      </c>
      <c r="S111" s="13">
        <v>2002</v>
      </c>
      <c r="T111" s="5"/>
    </row>
    <row r="112" spans="1:20" ht="10.5" customHeight="1" x14ac:dyDescent="0.3">
      <c r="A112" s="19">
        <v>2003</v>
      </c>
      <c r="B112" s="12">
        <v>8</v>
      </c>
      <c r="C112" s="12">
        <v>2</v>
      </c>
      <c r="D112" s="12">
        <v>1</v>
      </c>
      <c r="E112" s="12">
        <v>1</v>
      </c>
      <c r="F112" s="12">
        <v>1</v>
      </c>
      <c r="G112" s="12">
        <v>1</v>
      </c>
      <c r="H112" s="12">
        <v>1</v>
      </c>
      <c r="I112" s="20" t="s">
        <v>20</v>
      </c>
      <c r="J112" s="20" t="s">
        <v>20</v>
      </c>
      <c r="K112" s="20" t="s">
        <v>20</v>
      </c>
      <c r="L112" s="20" t="s">
        <v>20</v>
      </c>
      <c r="M112" s="20" t="s">
        <v>20</v>
      </c>
      <c r="N112" s="12" t="s">
        <v>20</v>
      </c>
      <c r="O112" s="12" t="s">
        <v>20</v>
      </c>
      <c r="P112" s="20" t="s">
        <v>20</v>
      </c>
      <c r="Q112" s="12">
        <v>1</v>
      </c>
      <c r="R112" s="20" t="s">
        <v>20</v>
      </c>
      <c r="S112" s="13">
        <v>2003</v>
      </c>
      <c r="T112" s="5"/>
    </row>
    <row r="117" spans="1:4" x14ac:dyDescent="0.3">
      <c r="A117" s="1" t="s">
        <v>124</v>
      </c>
    </row>
    <row r="118" spans="1:4" x14ac:dyDescent="0.3">
      <c r="A118" s="1">
        <v>2004</v>
      </c>
      <c r="B118" s="33">
        <f>B15+B30</f>
        <v>6468</v>
      </c>
      <c r="C118" s="2" t="s">
        <v>125</v>
      </c>
      <c r="D118" s="33">
        <f>B14+B29</f>
        <v>6458</v>
      </c>
    </row>
    <row r="119" spans="1:4" x14ac:dyDescent="0.3">
      <c r="B119" s="33">
        <f>B45+B75+B90+'13.점포(II 2006)'!B16+'13.점포(II 2006)'!B31+'13.점포(II 2006)'!B46+'13.점포(II 2006)'!B61+'13.점포(II 2006)'!B76</f>
        <v>12290</v>
      </c>
      <c r="C119" s="2" t="s">
        <v>126</v>
      </c>
      <c r="D119" s="33">
        <f>C45+C75+C89+'13.점포(II 2006)'!B15+'13.점포(II 2006)'!B30+'13.점포(II 2006)'!B45+'13.점포(II 2006)'!B60+'13.점포(II 2006)'!B75-'13.점포(II 2006)'!B75+'13.점포(II 2006)'!B75</f>
        <v>11975</v>
      </c>
    </row>
  </sheetData>
  <mergeCells count="15">
    <mergeCell ref="A1:S1"/>
    <mergeCell ref="A4:I4"/>
    <mergeCell ref="J4:S4"/>
    <mergeCell ref="A18:I18"/>
    <mergeCell ref="A101:I101"/>
    <mergeCell ref="J18:S18"/>
    <mergeCell ref="J101:S101"/>
    <mergeCell ref="A78:I78"/>
    <mergeCell ref="J78:R78"/>
    <mergeCell ref="A33:I33"/>
    <mergeCell ref="J33:S33"/>
    <mergeCell ref="A63:I63"/>
    <mergeCell ref="J63:S63"/>
    <mergeCell ref="A48:I48"/>
    <mergeCell ref="J48:S48"/>
  </mergeCells>
  <phoneticPr fontId="2" type="noConversion"/>
  <pageMargins left="0.78740157480314965" right="0.74803149606299213" top="0.98425196850393704" bottom="0" header="0.51181102362204722" footer="0.51181102362204722"/>
  <pageSetup paperSize="9" scale="98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24"/>
  </sheetPr>
  <dimension ref="A1:AI98"/>
  <sheetViews>
    <sheetView topLeftCell="A59" zoomScaleNormal="100" workbookViewId="0">
      <selection sqref="A1:IV65536"/>
    </sheetView>
  </sheetViews>
  <sheetFormatPr defaultColWidth="8.86328125" defaultRowHeight="11.6" x14ac:dyDescent="0.3"/>
  <cols>
    <col min="1" max="1" width="7.33203125" style="1" customWidth="1"/>
    <col min="2" max="2" width="8.19921875" style="2" customWidth="1"/>
    <col min="3" max="3" width="8.796875" style="2" customWidth="1"/>
    <col min="4" max="4" width="8" style="2" customWidth="1"/>
    <col min="5" max="8" width="7.796875" style="2" customWidth="1"/>
    <col min="9" max="9" width="7.53125" style="2" customWidth="1"/>
    <col min="10" max="18" width="7.33203125" style="2" customWidth="1"/>
    <col min="19" max="19" width="7.33203125" style="1" customWidth="1"/>
    <col min="20" max="16384" width="8.86328125" style="2"/>
  </cols>
  <sheetData>
    <row r="1" spans="1:35" ht="18.45" x14ac:dyDescent="0.3">
      <c r="A1" s="135" t="s">
        <v>127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x14ac:dyDescent="0.3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6"/>
    </row>
    <row r="3" spans="1:35" ht="15" customHeight="1" x14ac:dyDescent="0.3">
      <c r="A3" s="8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23</v>
      </c>
      <c r="H3" s="26" t="s">
        <v>24</v>
      </c>
      <c r="I3" s="26" t="s">
        <v>128</v>
      </c>
      <c r="J3" s="9" t="s">
        <v>129</v>
      </c>
      <c r="K3" s="26" t="s">
        <v>10</v>
      </c>
      <c r="L3" s="26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  <c r="R3" s="26" t="s">
        <v>17</v>
      </c>
      <c r="S3" s="10" t="s">
        <v>18</v>
      </c>
    </row>
    <row r="4" spans="1:35" ht="16.5" customHeight="1" x14ac:dyDescent="0.3">
      <c r="A4" s="133" t="s">
        <v>130</v>
      </c>
      <c r="B4" s="133"/>
      <c r="C4" s="133"/>
      <c r="D4" s="133"/>
      <c r="E4" s="133"/>
      <c r="F4" s="133"/>
      <c r="G4" s="133"/>
      <c r="H4" s="133"/>
      <c r="I4" s="133"/>
      <c r="J4" s="136" t="s">
        <v>130</v>
      </c>
      <c r="K4" s="136"/>
      <c r="L4" s="136"/>
      <c r="M4" s="136"/>
      <c r="N4" s="136"/>
      <c r="O4" s="136"/>
      <c r="P4" s="136"/>
      <c r="Q4" s="136"/>
      <c r="R4" s="136"/>
      <c r="S4" s="136"/>
    </row>
    <row r="5" spans="1:35" ht="3" hidden="1" customHeight="1" x14ac:dyDescent="0.3">
      <c r="A5" s="11">
        <v>1994</v>
      </c>
      <c r="B5" s="12">
        <v>1617</v>
      </c>
      <c r="C5" s="12">
        <v>251</v>
      </c>
      <c r="D5" s="12">
        <v>75</v>
      </c>
      <c r="E5" s="12">
        <v>134</v>
      </c>
      <c r="F5" s="12">
        <v>64</v>
      </c>
      <c r="G5" s="12">
        <v>76</v>
      </c>
      <c r="H5" s="12">
        <v>65</v>
      </c>
      <c r="I5" s="12" t="s">
        <v>20</v>
      </c>
      <c r="J5" s="12">
        <v>126</v>
      </c>
      <c r="K5" s="12">
        <v>88</v>
      </c>
      <c r="L5" s="12">
        <v>127</v>
      </c>
      <c r="M5" s="12">
        <v>103</v>
      </c>
      <c r="N5" s="12">
        <v>115</v>
      </c>
      <c r="O5" s="12">
        <v>89</v>
      </c>
      <c r="P5" s="12">
        <v>118</v>
      </c>
      <c r="Q5" s="12">
        <v>152</v>
      </c>
      <c r="R5" s="12">
        <v>34</v>
      </c>
      <c r="S5" s="13">
        <v>1994</v>
      </c>
    </row>
    <row r="6" spans="1:35" ht="10.5" hidden="1" customHeight="1" x14ac:dyDescent="0.3">
      <c r="A6" s="11">
        <v>1995</v>
      </c>
      <c r="B6" s="12">
        <v>1665</v>
      </c>
      <c r="C6" s="12">
        <v>259</v>
      </c>
      <c r="D6" s="12">
        <v>84</v>
      </c>
      <c r="E6" s="12">
        <v>145</v>
      </c>
      <c r="F6" s="12">
        <v>69</v>
      </c>
      <c r="G6" s="12">
        <v>79</v>
      </c>
      <c r="H6" s="12">
        <v>71</v>
      </c>
      <c r="I6" s="12" t="s">
        <v>20</v>
      </c>
      <c r="J6" s="12">
        <v>124</v>
      </c>
      <c r="K6" s="12">
        <v>88</v>
      </c>
      <c r="L6" s="12">
        <v>126</v>
      </c>
      <c r="M6" s="12">
        <v>103</v>
      </c>
      <c r="N6" s="12">
        <v>115</v>
      </c>
      <c r="O6" s="12">
        <v>91</v>
      </c>
      <c r="P6" s="12">
        <v>117</v>
      </c>
      <c r="Q6" s="12">
        <v>159</v>
      </c>
      <c r="R6" s="12">
        <v>35</v>
      </c>
      <c r="S6" s="13">
        <v>1995</v>
      </c>
    </row>
    <row r="7" spans="1:35" ht="10.5" hidden="1" customHeight="1" x14ac:dyDescent="0.3">
      <c r="A7" s="11">
        <v>1996</v>
      </c>
      <c r="B7" s="12">
        <v>1670</v>
      </c>
      <c r="C7" s="12">
        <v>254</v>
      </c>
      <c r="D7" s="12">
        <v>89</v>
      </c>
      <c r="E7" s="12">
        <v>158</v>
      </c>
      <c r="F7" s="12">
        <v>68</v>
      </c>
      <c r="G7" s="12">
        <v>79</v>
      </c>
      <c r="H7" s="12">
        <v>72</v>
      </c>
      <c r="I7" s="12" t="s">
        <v>20</v>
      </c>
      <c r="J7" s="12">
        <v>123</v>
      </c>
      <c r="K7" s="12">
        <v>85</v>
      </c>
      <c r="L7" s="12">
        <v>124</v>
      </c>
      <c r="M7" s="12">
        <v>99</v>
      </c>
      <c r="N7" s="12">
        <v>112</v>
      </c>
      <c r="O7" s="12">
        <v>89</v>
      </c>
      <c r="P7" s="12">
        <v>116</v>
      </c>
      <c r="Q7" s="12">
        <v>166</v>
      </c>
      <c r="R7" s="12">
        <v>36</v>
      </c>
      <c r="S7" s="13">
        <v>1996</v>
      </c>
    </row>
    <row r="8" spans="1:35" ht="10.5" hidden="1" customHeight="1" x14ac:dyDescent="0.3">
      <c r="A8" s="11">
        <v>1997</v>
      </c>
      <c r="B8" s="12">
        <v>1666</v>
      </c>
      <c r="C8" s="12">
        <v>248</v>
      </c>
      <c r="D8" s="12">
        <v>89</v>
      </c>
      <c r="E8" s="12">
        <v>161</v>
      </c>
      <c r="F8" s="12">
        <v>67</v>
      </c>
      <c r="G8" s="12">
        <v>81</v>
      </c>
      <c r="H8" s="12">
        <v>72</v>
      </c>
      <c r="I8" s="12">
        <v>37</v>
      </c>
      <c r="J8" s="12">
        <v>125</v>
      </c>
      <c r="K8" s="12">
        <v>85</v>
      </c>
      <c r="L8" s="12">
        <v>125</v>
      </c>
      <c r="M8" s="12">
        <v>99</v>
      </c>
      <c r="N8" s="12">
        <v>112</v>
      </c>
      <c r="O8" s="12">
        <v>88</v>
      </c>
      <c r="P8" s="12">
        <v>115</v>
      </c>
      <c r="Q8" s="12">
        <v>126</v>
      </c>
      <c r="R8" s="12">
        <v>36</v>
      </c>
      <c r="S8" s="13">
        <v>1997</v>
      </c>
      <c r="T8" s="5"/>
    </row>
    <row r="9" spans="1:35" ht="10.5" hidden="1" customHeight="1" x14ac:dyDescent="0.3">
      <c r="A9" s="11">
        <v>1998</v>
      </c>
      <c r="B9" s="12">
        <v>1592</v>
      </c>
      <c r="C9" s="12">
        <v>222</v>
      </c>
      <c r="D9" s="12">
        <v>83</v>
      </c>
      <c r="E9" s="12">
        <v>141</v>
      </c>
      <c r="F9" s="12">
        <v>64</v>
      </c>
      <c r="G9" s="12">
        <v>81</v>
      </c>
      <c r="H9" s="12">
        <v>69</v>
      </c>
      <c r="I9" s="12">
        <v>35</v>
      </c>
      <c r="J9" s="12">
        <v>124</v>
      </c>
      <c r="K9" s="12">
        <v>85</v>
      </c>
      <c r="L9" s="12">
        <v>123</v>
      </c>
      <c r="M9" s="12">
        <v>97</v>
      </c>
      <c r="N9" s="12">
        <v>113</v>
      </c>
      <c r="O9" s="12">
        <v>88</v>
      </c>
      <c r="P9" s="12">
        <v>107</v>
      </c>
      <c r="Q9" s="12">
        <v>123</v>
      </c>
      <c r="R9" s="12">
        <v>37</v>
      </c>
      <c r="S9" s="13">
        <v>1998</v>
      </c>
      <c r="T9" s="5"/>
      <c r="U9" s="33"/>
    </row>
    <row r="10" spans="1:35" ht="10.5" hidden="1" customHeight="1" x14ac:dyDescent="0.3">
      <c r="A10" s="11">
        <v>1999</v>
      </c>
      <c r="B10" s="12">
        <v>1442</v>
      </c>
      <c r="C10" s="12">
        <v>206</v>
      </c>
      <c r="D10" s="12">
        <v>77</v>
      </c>
      <c r="E10" s="12">
        <v>117</v>
      </c>
      <c r="F10" s="12">
        <v>61</v>
      </c>
      <c r="G10" s="12">
        <v>78</v>
      </c>
      <c r="H10" s="12">
        <v>66</v>
      </c>
      <c r="I10" s="12">
        <v>28</v>
      </c>
      <c r="J10" s="12">
        <v>119</v>
      </c>
      <c r="K10" s="12">
        <v>72</v>
      </c>
      <c r="L10" s="12">
        <v>109</v>
      </c>
      <c r="M10" s="12">
        <v>80</v>
      </c>
      <c r="N10" s="12">
        <v>105</v>
      </c>
      <c r="O10" s="12">
        <v>73</v>
      </c>
      <c r="P10" s="12">
        <v>102</v>
      </c>
      <c r="Q10" s="12">
        <v>113</v>
      </c>
      <c r="R10" s="12">
        <v>36</v>
      </c>
      <c r="S10" s="13">
        <v>1999</v>
      </c>
      <c r="T10" s="5"/>
      <c r="U10" s="33"/>
    </row>
    <row r="11" spans="1:35" ht="10.5" customHeight="1" x14ac:dyDescent="0.3">
      <c r="A11" s="11">
        <v>2000</v>
      </c>
      <c r="B11" s="12">
        <v>1317</v>
      </c>
      <c r="C11" s="12">
        <v>190</v>
      </c>
      <c r="D11" s="12">
        <v>72</v>
      </c>
      <c r="E11" s="12">
        <v>107</v>
      </c>
      <c r="F11" s="12">
        <v>56</v>
      </c>
      <c r="G11" s="12">
        <v>72</v>
      </c>
      <c r="H11" s="12">
        <v>61</v>
      </c>
      <c r="I11" s="12">
        <v>23</v>
      </c>
      <c r="J11" s="12">
        <v>112</v>
      </c>
      <c r="K11" s="12">
        <v>64</v>
      </c>
      <c r="L11" s="12">
        <v>97</v>
      </c>
      <c r="M11" s="12">
        <v>76</v>
      </c>
      <c r="N11" s="12">
        <v>99</v>
      </c>
      <c r="O11" s="12">
        <v>67</v>
      </c>
      <c r="P11" s="12">
        <v>96</v>
      </c>
      <c r="Q11" s="12">
        <v>92</v>
      </c>
      <c r="R11" s="12">
        <v>33</v>
      </c>
      <c r="S11" s="13">
        <v>2000</v>
      </c>
      <c r="T11" s="5"/>
      <c r="U11" s="33"/>
    </row>
    <row r="12" spans="1:35" ht="10.5" customHeight="1" x14ac:dyDescent="0.3">
      <c r="A12" s="11">
        <v>2001</v>
      </c>
      <c r="B12" s="12">
        <v>1268</v>
      </c>
      <c r="C12" s="12">
        <v>182</v>
      </c>
      <c r="D12" s="12">
        <v>72</v>
      </c>
      <c r="E12" s="12">
        <v>98</v>
      </c>
      <c r="F12" s="12">
        <v>55</v>
      </c>
      <c r="G12" s="12">
        <v>70</v>
      </c>
      <c r="H12" s="12">
        <v>57</v>
      </c>
      <c r="I12" s="12">
        <v>22</v>
      </c>
      <c r="J12" s="12">
        <v>111</v>
      </c>
      <c r="K12" s="12">
        <v>60</v>
      </c>
      <c r="L12" s="12">
        <v>96</v>
      </c>
      <c r="M12" s="12">
        <v>72</v>
      </c>
      <c r="N12" s="12">
        <v>94</v>
      </c>
      <c r="O12" s="12">
        <v>66</v>
      </c>
      <c r="P12" s="12">
        <v>90</v>
      </c>
      <c r="Q12" s="12">
        <v>91</v>
      </c>
      <c r="R12" s="12">
        <v>32</v>
      </c>
      <c r="S12" s="13">
        <v>2001</v>
      </c>
      <c r="T12" s="5"/>
      <c r="U12" s="33"/>
    </row>
    <row r="13" spans="1:35" ht="6" customHeight="1" x14ac:dyDescent="0.3">
      <c r="A13" s="11" t="s">
        <v>1</v>
      </c>
      <c r="B13" s="12" t="s">
        <v>2</v>
      </c>
      <c r="C13" s="12" t="s">
        <v>3</v>
      </c>
      <c r="D13" s="12" t="s">
        <v>3</v>
      </c>
      <c r="E13" s="12" t="s">
        <v>3</v>
      </c>
      <c r="F13" s="12" t="s">
        <v>3</v>
      </c>
      <c r="G13" s="12" t="s">
        <v>0</v>
      </c>
      <c r="H13" s="12" t="s">
        <v>0</v>
      </c>
      <c r="I13" s="12" t="s">
        <v>0</v>
      </c>
      <c r="J13" s="12" t="s">
        <v>0</v>
      </c>
      <c r="K13" s="12" t="s">
        <v>0</v>
      </c>
      <c r="L13" s="12" t="s">
        <v>0</v>
      </c>
      <c r="M13" s="12" t="s">
        <v>0</v>
      </c>
      <c r="N13" s="12" t="s">
        <v>0</v>
      </c>
      <c r="O13" s="12" t="s">
        <v>0</v>
      </c>
      <c r="P13" s="12" t="s">
        <v>0</v>
      </c>
      <c r="Q13" s="12" t="s">
        <v>0</v>
      </c>
      <c r="R13" s="12" t="s">
        <v>0</v>
      </c>
      <c r="S13" s="13"/>
      <c r="T13" s="5"/>
      <c r="U13" s="33"/>
    </row>
    <row r="14" spans="1:35" ht="10.5" customHeight="1" x14ac:dyDescent="0.3">
      <c r="A14" s="11">
        <v>2002</v>
      </c>
      <c r="B14" s="12">
        <v>1233</v>
      </c>
      <c r="C14" s="12">
        <v>169</v>
      </c>
      <c r="D14" s="12">
        <v>68</v>
      </c>
      <c r="E14" s="12">
        <v>96</v>
      </c>
      <c r="F14" s="12">
        <v>55</v>
      </c>
      <c r="G14" s="12">
        <v>69</v>
      </c>
      <c r="H14" s="12">
        <v>55</v>
      </c>
      <c r="I14" s="12">
        <v>22</v>
      </c>
      <c r="J14" s="12">
        <v>112</v>
      </c>
      <c r="K14" s="12">
        <v>57</v>
      </c>
      <c r="L14" s="12">
        <v>95</v>
      </c>
      <c r="M14" s="12">
        <v>70</v>
      </c>
      <c r="N14" s="12">
        <v>92</v>
      </c>
      <c r="O14" s="12">
        <v>65</v>
      </c>
      <c r="P14" s="12">
        <v>90</v>
      </c>
      <c r="Q14" s="12">
        <v>86</v>
      </c>
      <c r="R14" s="12">
        <v>32</v>
      </c>
      <c r="S14" s="13">
        <v>2002</v>
      </c>
      <c r="T14" s="5"/>
      <c r="U14" s="33"/>
    </row>
    <row r="15" spans="1:35" ht="10.5" customHeight="1" x14ac:dyDescent="0.3">
      <c r="A15" s="11">
        <v>2003</v>
      </c>
      <c r="B15" s="12">
        <v>1086</v>
      </c>
      <c r="C15" s="12">
        <v>161</v>
      </c>
      <c r="D15" s="12">
        <v>61</v>
      </c>
      <c r="E15" s="12">
        <v>71</v>
      </c>
      <c r="F15" s="12">
        <v>53</v>
      </c>
      <c r="G15" s="12">
        <v>56</v>
      </c>
      <c r="H15" s="12">
        <v>50</v>
      </c>
      <c r="I15" s="12">
        <v>15</v>
      </c>
      <c r="J15" s="12">
        <v>110</v>
      </c>
      <c r="K15" s="12">
        <v>47</v>
      </c>
      <c r="L15" s="12">
        <v>90</v>
      </c>
      <c r="M15" s="12">
        <v>60</v>
      </c>
      <c r="N15" s="12">
        <v>88</v>
      </c>
      <c r="O15" s="12">
        <v>56</v>
      </c>
      <c r="P15" s="12">
        <v>67</v>
      </c>
      <c r="Q15" s="12">
        <v>70</v>
      </c>
      <c r="R15" s="12">
        <v>31</v>
      </c>
      <c r="S15" s="13">
        <v>2003</v>
      </c>
      <c r="T15" s="5"/>
      <c r="U15" s="33"/>
    </row>
    <row r="16" spans="1:35" s="30" customFormat="1" ht="10.5" customHeight="1" x14ac:dyDescent="0.3">
      <c r="A16" s="14">
        <v>2004</v>
      </c>
      <c r="B16" s="15">
        <v>1066</v>
      </c>
      <c r="C16" s="15">
        <v>160</v>
      </c>
      <c r="D16" s="15">
        <v>61</v>
      </c>
      <c r="E16" s="15">
        <v>69</v>
      </c>
      <c r="F16" s="15">
        <v>52</v>
      </c>
      <c r="G16" s="15">
        <v>53</v>
      </c>
      <c r="H16" s="15">
        <v>50</v>
      </c>
      <c r="I16" s="12">
        <v>13</v>
      </c>
      <c r="J16" s="15">
        <v>110</v>
      </c>
      <c r="K16" s="15">
        <v>47</v>
      </c>
      <c r="L16" s="15">
        <v>88</v>
      </c>
      <c r="M16" s="15">
        <v>60</v>
      </c>
      <c r="N16" s="15">
        <v>87</v>
      </c>
      <c r="O16" s="15">
        <v>54</v>
      </c>
      <c r="P16" s="15">
        <v>65</v>
      </c>
      <c r="Q16" s="15">
        <v>66</v>
      </c>
      <c r="R16" s="15">
        <v>31</v>
      </c>
      <c r="S16" s="17">
        <v>2004</v>
      </c>
      <c r="T16" s="5"/>
      <c r="U16" s="33"/>
    </row>
    <row r="17" spans="1:21" s="30" customFormat="1" ht="10.5" customHeight="1" x14ac:dyDescent="0.3">
      <c r="A17" s="14">
        <v>2005</v>
      </c>
      <c r="B17" s="15">
        <v>1051</v>
      </c>
      <c r="C17" s="15">
        <v>157</v>
      </c>
      <c r="D17" s="15">
        <v>60</v>
      </c>
      <c r="E17" s="15">
        <v>65</v>
      </c>
      <c r="F17" s="15">
        <v>52</v>
      </c>
      <c r="G17" s="15">
        <v>53</v>
      </c>
      <c r="H17" s="15">
        <v>50</v>
      </c>
      <c r="I17" s="15">
        <v>13</v>
      </c>
      <c r="J17" s="15">
        <v>109</v>
      </c>
      <c r="K17" s="15">
        <v>47</v>
      </c>
      <c r="L17" s="15">
        <v>87</v>
      </c>
      <c r="M17" s="15">
        <v>60</v>
      </c>
      <c r="N17" s="15">
        <v>86</v>
      </c>
      <c r="O17" s="15">
        <v>53</v>
      </c>
      <c r="P17" s="15">
        <v>64</v>
      </c>
      <c r="Q17" s="15">
        <v>64</v>
      </c>
      <c r="R17" s="15">
        <v>31</v>
      </c>
      <c r="S17" s="17">
        <v>2005</v>
      </c>
      <c r="T17" s="5"/>
      <c r="U17" s="33"/>
    </row>
    <row r="18" spans="1:21" s="53" customFormat="1" ht="10.5" customHeight="1" x14ac:dyDescent="0.3">
      <c r="A18" s="49">
        <v>2006</v>
      </c>
      <c r="B18" s="50">
        <v>1051</v>
      </c>
      <c r="C18" s="50">
        <v>157</v>
      </c>
      <c r="D18" s="50">
        <v>60</v>
      </c>
      <c r="E18" s="50">
        <v>65</v>
      </c>
      <c r="F18" s="50">
        <v>52</v>
      </c>
      <c r="G18" s="50">
        <v>53</v>
      </c>
      <c r="H18" s="50">
        <v>50</v>
      </c>
      <c r="I18" s="50">
        <v>13</v>
      </c>
      <c r="J18" s="50">
        <v>109</v>
      </c>
      <c r="K18" s="50">
        <v>47</v>
      </c>
      <c r="L18" s="50">
        <v>87</v>
      </c>
      <c r="M18" s="50">
        <v>60</v>
      </c>
      <c r="N18" s="50">
        <v>86</v>
      </c>
      <c r="O18" s="50">
        <v>53</v>
      </c>
      <c r="P18" s="50">
        <v>64</v>
      </c>
      <c r="Q18" s="50">
        <v>64</v>
      </c>
      <c r="R18" s="50">
        <v>31</v>
      </c>
      <c r="S18" s="48">
        <v>2006</v>
      </c>
      <c r="T18" s="51"/>
      <c r="U18" s="51"/>
    </row>
    <row r="19" spans="1:21" ht="15.75" customHeight="1" x14ac:dyDescent="0.3">
      <c r="A19" s="133" t="s">
        <v>131</v>
      </c>
      <c r="B19" s="133"/>
      <c r="C19" s="133"/>
      <c r="D19" s="133"/>
      <c r="E19" s="133"/>
      <c r="F19" s="133"/>
      <c r="G19" s="133"/>
      <c r="H19" s="133"/>
      <c r="I19" s="133"/>
      <c r="J19" s="136" t="s">
        <v>132</v>
      </c>
      <c r="K19" s="136"/>
      <c r="L19" s="136"/>
      <c r="M19" s="136"/>
      <c r="N19" s="136"/>
      <c r="O19" s="136"/>
      <c r="P19" s="136"/>
      <c r="Q19" s="136"/>
      <c r="R19" s="136"/>
      <c r="S19" s="136"/>
      <c r="T19" s="5"/>
      <c r="U19" s="33"/>
    </row>
    <row r="20" spans="1:21" ht="15.75" hidden="1" customHeight="1" x14ac:dyDescent="0.3">
      <c r="A20" s="11">
        <v>1994</v>
      </c>
      <c r="B20" s="12">
        <v>2746</v>
      </c>
      <c r="C20" s="12">
        <v>256</v>
      </c>
      <c r="D20" s="12">
        <v>127</v>
      </c>
      <c r="E20" s="12">
        <v>78</v>
      </c>
      <c r="F20" s="12">
        <v>48</v>
      </c>
      <c r="G20" s="12">
        <v>51</v>
      </c>
      <c r="H20" s="12">
        <v>60</v>
      </c>
      <c r="I20" s="12" t="s">
        <v>20</v>
      </c>
      <c r="J20" s="12">
        <v>342</v>
      </c>
      <c r="K20" s="12">
        <v>192</v>
      </c>
      <c r="L20" s="12">
        <v>147</v>
      </c>
      <c r="M20" s="12">
        <v>214</v>
      </c>
      <c r="N20" s="12">
        <v>226</v>
      </c>
      <c r="O20" s="12">
        <v>302</v>
      </c>
      <c r="P20" s="12">
        <v>323</v>
      </c>
      <c r="Q20" s="12">
        <v>335</v>
      </c>
      <c r="R20" s="12">
        <v>45</v>
      </c>
      <c r="S20" s="13">
        <v>1994</v>
      </c>
      <c r="T20" s="5"/>
      <c r="U20" s="33"/>
    </row>
    <row r="21" spans="1:21" ht="15.75" hidden="1" customHeight="1" x14ac:dyDescent="0.3">
      <c r="A21" s="11">
        <v>1995</v>
      </c>
      <c r="B21" s="12">
        <v>2786</v>
      </c>
      <c r="C21" s="12">
        <v>260</v>
      </c>
      <c r="D21" s="12">
        <v>136</v>
      </c>
      <c r="E21" s="12">
        <v>90</v>
      </c>
      <c r="F21" s="12">
        <v>73</v>
      </c>
      <c r="G21" s="12">
        <v>52</v>
      </c>
      <c r="H21" s="12">
        <v>64</v>
      </c>
      <c r="I21" s="12" t="s">
        <v>20</v>
      </c>
      <c r="J21" s="12">
        <v>330</v>
      </c>
      <c r="K21" s="12">
        <v>194</v>
      </c>
      <c r="L21" s="12">
        <v>148</v>
      </c>
      <c r="M21" s="12">
        <v>216</v>
      </c>
      <c r="N21" s="12">
        <v>228</v>
      </c>
      <c r="O21" s="12">
        <v>304</v>
      </c>
      <c r="P21" s="12">
        <v>316</v>
      </c>
      <c r="Q21" s="12">
        <v>330</v>
      </c>
      <c r="R21" s="12">
        <v>45</v>
      </c>
      <c r="S21" s="13">
        <v>1995</v>
      </c>
      <c r="T21" s="5"/>
      <c r="U21" s="33"/>
    </row>
    <row r="22" spans="1:21" ht="15.75" hidden="1" customHeight="1" x14ac:dyDescent="0.3">
      <c r="A22" s="11">
        <v>1996</v>
      </c>
      <c r="B22" s="12">
        <v>2832</v>
      </c>
      <c r="C22" s="12">
        <v>266</v>
      </c>
      <c r="D22" s="12">
        <v>139</v>
      </c>
      <c r="E22" s="12">
        <v>94</v>
      </c>
      <c r="F22" s="12">
        <v>76</v>
      </c>
      <c r="G22" s="12">
        <v>55</v>
      </c>
      <c r="H22" s="12">
        <v>68</v>
      </c>
      <c r="I22" s="12" t="s">
        <v>20</v>
      </c>
      <c r="J22" s="12">
        <v>341</v>
      </c>
      <c r="K22" s="12">
        <v>197</v>
      </c>
      <c r="L22" s="12">
        <v>148</v>
      </c>
      <c r="M22" s="12">
        <v>217</v>
      </c>
      <c r="N22" s="12">
        <v>232</v>
      </c>
      <c r="O22" s="12">
        <v>306</v>
      </c>
      <c r="P22" s="12">
        <v>316</v>
      </c>
      <c r="Q22" s="12">
        <v>332</v>
      </c>
      <c r="R22" s="12">
        <v>45</v>
      </c>
      <c r="S22" s="13">
        <v>1996</v>
      </c>
      <c r="T22" s="5"/>
      <c r="U22" s="33"/>
    </row>
    <row r="23" spans="1:21" ht="15.75" hidden="1" customHeight="1" x14ac:dyDescent="0.3">
      <c r="A23" s="11">
        <v>1997</v>
      </c>
      <c r="B23" s="12">
        <v>2873</v>
      </c>
      <c r="C23" s="12">
        <v>273</v>
      </c>
      <c r="D23" s="12">
        <v>144</v>
      </c>
      <c r="E23" s="12">
        <v>97</v>
      </c>
      <c r="F23" s="12">
        <v>78</v>
      </c>
      <c r="G23" s="12">
        <v>57</v>
      </c>
      <c r="H23" s="12">
        <v>67</v>
      </c>
      <c r="I23" s="12">
        <v>37</v>
      </c>
      <c r="J23" s="12">
        <v>342</v>
      </c>
      <c r="K23" s="12">
        <v>199</v>
      </c>
      <c r="L23" s="12">
        <v>151</v>
      </c>
      <c r="M23" s="12">
        <v>220</v>
      </c>
      <c r="N23" s="12">
        <v>237</v>
      </c>
      <c r="O23" s="12">
        <v>308</v>
      </c>
      <c r="P23" s="12">
        <v>320</v>
      </c>
      <c r="Q23" s="12">
        <v>297</v>
      </c>
      <c r="R23" s="12">
        <v>46</v>
      </c>
      <c r="S23" s="13">
        <v>1997</v>
      </c>
      <c r="T23" s="5"/>
      <c r="U23" s="33"/>
    </row>
    <row r="24" spans="1:21" ht="15.75" hidden="1" customHeight="1" x14ac:dyDescent="0.3">
      <c r="A24" s="11">
        <v>1998</v>
      </c>
      <c r="B24" s="12">
        <v>2807</v>
      </c>
      <c r="C24" s="12">
        <v>262</v>
      </c>
      <c r="D24" s="12">
        <v>141</v>
      </c>
      <c r="E24" s="12">
        <v>95</v>
      </c>
      <c r="F24" s="12">
        <v>77</v>
      </c>
      <c r="G24" s="12">
        <v>59</v>
      </c>
      <c r="H24" s="12">
        <v>66</v>
      </c>
      <c r="I24" s="12">
        <v>37</v>
      </c>
      <c r="J24" s="12">
        <v>336</v>
      </c>
      <c r="K24" s="12">
        <v>193</v>
      </c>
      <c r="L24" s="12">
        <v>149</v>
      </c>
      <c r="M24" s="12">
        <v>214</v>
      </c>
      <c r="N24" s="12">
        <v>232</v>
      </c>
      <c r="O24" s="12">
        <v>298</v>
      </c>
      <c r="P24" s="12">
        <v>314</v>
      </c>
      <c r="Q24" s="12">
        <v>293</v>
      </c>
      <c r="R24" s="12">
        <v>41</v>
      </c>
      <c r="S24" s="13">
        <v>1998</v>
      </c>
      <c r="T24" s="5"/>
      <c r="U24" s="33"/>
    </row>
    <row r="25" spans="1:21" ht="10.5" hidden="1" customHeight="1" x14ac:dyDescent="0.3">
      <c r="A25" s="11">
        <v>1999</v>
      </c>
      <c r="B25" s="12">
        <v>2808</v>
      </c>
      <c r="C25" s="12">
        <v>262</v>
      </c>
      <c r="D25" s="12">
        <v>141</v>
      </c>
      <c r="E25" s="12">
        <v>97</v>
      </c>
      <c r="F25" s="12">
        <v>77</v>
      </c>
      <c r="G25" s="12">
        <v>61</v>
      </c>
      <c r="H25" s="12">
        <v>66</v>
      </c>
      <c r="I25" s="12">
        <v>37</v>
      </c>
      <c r="J25" s="12">
        <v>337</v>
      </c>
      <c r="K25" s="12">
        <v>194</v>
      </c>
      <c r="L25" s="12">
        <v>152</v>
      </c>
      <c r="M25" s="12">
        <v>213</v>
      </c>
      <c r="N25" s="12">
        <v>228</v>
      </c>
      <c r="O25" s="12">
        <v>296</v>
      </c>
      <c r="P25" s="12">
        <v>311</v>
      </c>
      <c r="Q25" s="12">
        <v>294</v>
      </c>
      <c r="R25" s="12">
        <v>42</v>
      </c>
      <c r="S25" s="13">
        <v>1999</v>
      </c>
      <c r="T25" s="5"/>
      <c r="U25" s="33"/>
    </row>
    <row r="26" spans="1:21" ht="10.5" customHeight="1" x14ac:dyDescent="0.3">
      <c r="A26" s="11">
        <v>2000</v>
      </c>
      <c r="B26" s="12">
        <v>2812</v>
      </c>
      <c r="C26" s="12">
        <v>258</v>
      </c>
      <c r="D26" s="12">
        <v>143</v>
      </c>
      <c r="E26" s="12">
        <v>99</v>
      </c>
      <c r="F26" s="12">
        <v>76</v>
      </c>
      <c r="G26" s="12">
        <v>62</v>
      </c>
      <c r="H26" s="12">
        <v>67</v>
      </c>
      <c r="I26" s="12">
        <v>37</v>
      </c>
      <c r="J26" s="12">
        <v>341</v>
      </c>
      <c r="K26" s="12">
        <v>194</v>
      </c>
      <c r="L26" s="12">
        <v>150</v>
      </c>
      <c r="M26" s="12">
        <v>211</v>
      </c>
      <c r="N26" s="12">
        <v>230</v>
      </c>
      <c r="O26" s="12">
        <v>296</v>
      </c>
      <c r="P26" s="12">
        <v>312</v>
      </c>
      <c r="Q26" s="12">
        <v>294</v>
      </c>
      <c r="R26" s="12">
        <v>42</v>
      </c>
      <c r="S26" s="13">
        <v>2000</v>
      </c>
      <c r="T26" s="5"/>
      <c r="U26" s="33"/>
    </row>
    <row r="27" spans="1:21" ht="10.5" customHeight="1" x14ac:dyDescent="0.3">
      <c r="A27" s="11">
        <v>2001</v>
      </c>
      <c r="B27" s="12">
        <v>2785</v>
      </c>
      <c r="C27" s="12">
        <v>257</v>
      </c>
      <c r="D27" s="12">
        <v>143</v>
      </c>
      <c r="E27" s="12">
        <v>98</v>
      </c>
      <c r="F27" s="12">
        <v>75</v>
      </c>
      <c r="G27" s="12">
        <v>61</v>
      </c>
      <c r="H27" s="12">
        <v>68</v>
      </c>
      <c r="I27" s="12">
        <v>38</v>
      </c>
      <c r="J27" s="12">
        <v>341</v>
      </c>
      <c r="K27" s="12">
        <v>187</v>
      </c>
      <c r="L27" s="12">
        <v>148</v>
      </c>
      <c r="M27" s="12">
        <v>211</v>
      </c>
      <c r="N27" s="12">
        <v>225</v>
      </c>
      <c r="O27" s="12">
        <v>291</v>
      </c>
      <c r="P27" s="12">
        <v>310</v>
      </c>
      <c r="Q27" s="12">
        <v>293</v>
      </c>
      <c r="R27" s="12">
        <v>39</v>
      </c>
      <c r="S27" s="13">
        <v>2001</v>
      </c>
      <c r="T27" s="5"/>
      <c r="U27" s="33"/>
    </row>
    <row r="28" spans="1:21" ht="10.5" customHeight="1" x14ac:dyDescent="0.3">
      <c r="A28" s="11">
        <v>2002</v>
      </c>
      <c r="B28" s="12">
        <v>2809</v>
      </c>
      <c r="C28" s="12">
        <v>256</v>
      </c>
      <c r="D28" s="12">
        <v>144</v>
      </c>
      <c r="E28" s="12">
        <v>98</v>
      </c>
      <c r="F28" s="12">
        <v>76</v>
      </c>
      <c r="G28" s="12">
        <v>63</v>
      </c>
      <c r="H28" s="12">
        <v>71</v>
      </c>
      <c r="I28" s="12">
        <v>38</v>
      </c>
      <c r="J28" s="12">
        <v>343</v>
      </c>
      <c r="K28" s="12">
        <v>188</v>
      </c>
      <c r="L28" s="12">
        <v>151</v>
      </c>
      <c r="M28" s="12">
        <v>212</v>
      </c>
      <c r="N28" s="12">
        <v>230</v>
      </c>
      <c r="O28" s="12">
        <v>292</v>
      </c>
      <c r="P28" s="12">
        <v>312</v>
      </c>
      <c r="Q28" s="12">
        <v>296</v>
      </c>
      <c r="R28" s="12">
        <v>39</v>
      </c>
      <c r="S28" s="13">
        <v>2002</v>
      </c>
      <c r="T28" s="5"/>
      <c r="U28" s="33"/>
    </row>
    <row r="29" spans="1:21" ht="6" customHeight="1" x14ac:dyDescent="0.3">
      <c r="A29" s="11" t="s">
        <v>1</v>
      </c>
      <c r="B29" s="12" t="s">
        <v>2</v>
      </c>
      <c r="C29" s="12" t="s">
        <v>3</v>
      </c>
      <c r="D29" s="12" t="s">
        <v>3</v>
      </c>
      <c r="E29" s="12" t="s">
        <v>3</v>
      </c>
      <c r="F29" s="12" t="s">
        <v>3</v>
      </c>
      <c r="G29" s="12" t="s">
        <v>0</v>
      </c>
      <c r="H29" s="12" t="s">
        <v>0</v>
      </c>
      <c r="I29" s="12" t="s">
        <v>0</v>
      </c>
      <c r="J29" s="12" t="s">
        <v>0</v>
      </c>
      <c r="K29" s="12" t="s">
        <v>0</v>
      </c>
      <c r="L29" s="12" t="s">
        <v>0</v>
      </c>
      <c r="M29" s="12" t="s">
        <v>0</v>
      </c>
      <c r="N29" s="12" t="s">
        <v>0</v>
      </c>
      <c r="O29" s="12" t="s">
        <v>0</v>
      </c>
      <c r="P29" s="12" t="s">
        <v>0</v>
      </c>
      <c r="Q29" s="12" t="s">
        <v>0</v>
      </c>
      <c r="R29" s="12" t="s">
        <v>0</v>
      </c>
      <c r="S29" s="13"/>
      <c r="T29" s="5"/>
      <c r="U29" s="33"/>
    </row>
    <row r="30" spans="1:21" ht="10.5" customHeight="1" x14ac:dyDescent="0.3">
      <c r="A30" s="19">
        <v>2003</v>
      </c>
      <c r="B30" s="12">
        <v>2806</v>
      </c>
      <c r="C30" s="12">
        <v>257</v>
      </c>
      <c r="D30" s="12">
        <v>146</v>
      </c>
      <c r="E30" s="12">
        <v>99</v>
      </c>
      <c r="F30" s="12">
        <v>76</v>
      </c>
      <c r="G30" s="12">
        <v>64</v>
      </c>
      <c r="H30" s="12">
        <v>70</v>
      </c>
      <c r="I30" s="12">
        <v>39</v>
      </c>
      <c r="J30" s="12">
        <v>342</v>
      </c>
      <c r="K30" s="12">
        <v>189</v>
      </c>
      <c r="L30" s="12">
        <v>150</v>
      </c>
      <c r="M30" s="12">
        <v>211</v>
      </c>
      <c r="N30" s="12">
        <v>226</v>
      </c>
      <c r="O30" s="12">
        <v>292</v>
      </c>
      <c r="P30" s="12">
        <v>310</v>
      </c>
      <c r="Q30" s="12">
        <v>295</v>
      </c>
      <c r="R30" s="12">
        <v>40</v>
      </c>
      <c r="S30" s="19">
        <v>2003</v>
      </c>
      <c r="T30" s="5"/>
      <c r="U30" s="33"/>
    </row>
    <row r="31" spans="1:21" s="30" customFormat="1" ht="10.5" customHeight="1" x14ac:dyDescent="0.3">
      <c r="A31" s="14">
        <v>2004</v>
      </c>
      <c r="B31" s="15">
        <v>2995</v>
      </c>
      <c r="C31" s="15">
        <v>262</v>
      </c>
      <c r="D31" s="15">
        <v>153</v>
      </c>
      <c r="E31" s="15">
        <v>100</v>
      </c>
      <c r="F31" s="15">
        <v>78</v>
      </c>
      <c r="G31" s="15">
        <v>64</v>
      </c>
      <c r="H31" s="15">
        <v>70</v>
      </c>
      <c r="I31" s="15">
        <v>40</v>
      </c>
      <c r="J31" s="15">
        <v>352</v>
      </c>
      <c r="K31" s="15">
        <v>193</v>
      </c>
      <c r="L31" s="15">
        <v>152</v>
      </c>
      <c r="M31" s="15">
        <v>217</v>
      </c>
      <c r="N31" s="15">
        <v>359</v>
      </c>
      <c r="O31" s="15">
        <v>298</v>
      </c>
      <c r="P31" s="15">
        <v>315</v>
      </c>
      <c r="Q31" s="15">
        <v>298</v>
      </c>
      <c r="R31" s="15">
        <v>44</v>
      </c>
      <c r="S31" s="17">
        <v>2004</v>
      </c>
      <c r="T31" s="5"/>
      <c r="U31" s="33"/>
    </row>
    <row r="32" spans="1:21" s="30" customFormat="1" ht="10.5" customHeight="1" x14ac:dyDescent="0.3">
      <c r="A32" s="14">
        <v>2005</v>
      </c>
      <c r="B32" s="15">
        <v>2759</v>
      </c>
      <c r="C32" s="15">
        <v>255</v>
      </c>
      <c r="D32" s="15">
        <v>144</v>
      </c>
      <c r="E32" s="15">
        <v>96</v>
      </c>
      <c r="F32" s="15">
        <v>73</v>
      </c>
      <c r="G32" s="15">
        <v>63</v>
      </c>
      <c r="H32" s="15">
        <v>68</v>
      </c>
      <c r="I32" s="15">
        <v>40</v>
      </c>
      <c r="J32" s="15">
        <v>326</v>
      </c>
      <c r="K32" s="15">
        <v>176</v>
      </c>
      <c r="L32" s="15">
        <v>148</v>
      </c>
      <c r="M32" s="15">
        <v>213</v>
      </c>
      <c r="N32" s="15">
        <v>228</v>
      </c>
      <c r="O32" s="15">
        <v>290</v>
      </c>
      <c r="P32" s="15">
        <v>309</v>
      </c>
      <c r="Q32" s="15">
        <v>291</v>
      </c>
      <c r="R32" s="15">
        <v>38</v>
      </c>
      <c r="S32" s="17">
        <v>2005</v>
      </c>
      <c r="T32" s="5"/>
      <c r="U32" s="33"/>
    </row>
    <row r="33" spans="1:21" s="53" customFormat="1" ht="10.5" customHeight="1" x14ac:dyDescent="0.3">
      <c r="A33" s="49">
        <v>2006</v>
      </c>
      <c r="B33" s="50">
        <v>2759</v>
      </c>
      <c r="C33" s="50">
        <v>255</v>
      </c>
      <c r="D33" s="50">
        <v>144</v>
      </c>
      <c r="E33" s="50">
        <v>96</v>
      </c>
      <c r="F33" s="50">
        <v>73</v>
      </c>
      <c r="G33" s="50">
        <v>63</v>
      </c>
      <c r="H33" s="50">
        <v>68</v>
      </c>
      <c r="I33" s="50">
        <v>40</v>
      </c>
      <c r="J33" s="50">
        <v>326</v>
      </c>
      <c r="K33" s="50">
        <v>176</v>
      </c>
      <c r="L33" s="50">
        <v>148</v>
      </c>
      <c r="M33" s="50">
        <v>213</v>
      </c>
      <c r="N33" s="50">
        <v>228</v>
      </c>
      <c r="O33" s="50">
        <v>290</v>
      </c>
      <c r="P33" s="50">
        <v>309</v>
      </c>
      <c r="Q33" s="50">
        <v>291</v>
      </c>
      <c r="R33" s="50">
        <v>38</v>
      </c>
      <c r="S33" s="48">
        <v>2006</v>
      </c>
      <c r="T33" s="51"/>
      <c r="U33" s="51"/>
    </row>
    <row r="34" spans="1:21" ht="16.5" customHeight="1" x14ac:dyDescent="0.3">
      <c r="A34" s="133" t="s">
        <v>133</v>
      </c>
      <c r="B34" s="133"/>
      <c r="C34" s="133"/>
      <c r="D34" s="133"/>
      <c r="E34" s="133"/>
      <c r="F34" s="133"/>
      <c r="G34" s="133"/>
      <c r="H34" s="133"/>
      <c r="I34" s="133"/>
      <c r="J34" s="136" t="s">
        <v>133</v>
      </c>
      <c r="K34" s="136"/>
      <c r="L34" s="136"/>
      <c r="M34" s="136"/>
      <c r="N34" s="136"/>
      <c r="O34" s="136"/>
      <c r="P34" s="136"/>
      <c r="Q34" s="136"/>
      <c r="R34" s="136"/>
      <c r="S34" s="136"/>
      <c r="T34" s="5"/>
      <c r="U34" s="33"/>
    </row>
    <row r="35" spans="1:21" ht="10.5" hidden="1" customHeight="1" x14ac:dyDescent="0.3">
      <c r="A35" s="14">
        <v>1994</v>
      </c>
      <c r="B35" s="15">
        <v>1704</v>
      </c>
      <c r="C35" s="15">
        <v>22</v>
      </c>
      <c r="D35" s="15">
        <v>20</v>
      </c>
      <c r="E35" s="15">
        <v>17</v>
      </c>
      <c r="F35" s="15">
        <v>11</v>
      </c>
      <c r="G35" s="15">
        <v>17</v>
      </c>
      <c r="H35" s="15">
        <v>15</v>
      </c>
      <c r="I35" s="15" t="s">
        <v>20</v>
      </c>
      <c r="J35" s="12">
        <v>186</v>
      </c>
      <c r="K35" s="12">
        <v>125</v>
      </c>
      <c r="L35" s="12">
        <v>107</v>
      </c>
      <c r="M35" s="12">
        <v>196</v>
      </c>
      <c r="N35" s="12">
        <v>176</v>
      </c>
      <c r="O35" s="12">
        <v>270</v>
      </c>
      <c r="P35" s="12">
        <v>261</v>
      </c>
      <c r="Q35" s="12">
        <v>250</v>
      </c>
      <c r="R35" s="12">
        <v>31</v>
      </c>
      <c r="S35" s="13">
        <v>1994</v>
      </c>
      <c r="T35" s="5"/>
      <c r="U35" s="33"/>
    </row>
    <row r="36" spans="1:21" ht="10.5" hidden="1" customHeight="1" x14ac:dyDescent="0.3">
      <c r="A36" s="14">
        <v>1995</v>
      </c>
      <c r="B36" s="15">
        <v>1730</v>
      </c>
      <c r="C36" s="15">
        <v>23</v>
      </c>
      <c r="D36" s="15">
        <v>25</v>
      </c>
      <c r="E36" s="15">
        <v>25</v>
      </c>
      <c r="F36" s="15">
        <v>24</v>
      </c>
      <c r="G36" s="15">
        <v>18</v>
      </c>
      <c r="H36" s="15">
        <v>15</v>
      </c>
      <c r="I36" s="15" t="s">
        <v>20</v>
      </c>
      <c r="J36" s="12">
        <v>175</v>
      </c>
      <c r="K36" s="12">
        <v>126</v>
      </c>
      <c r="L36" s="12">
        <v>108</v>
      </c>
      <c r="M36" s="12">
        <v>201</v>
      </c>
      <c r="N36" s="12">
        <v>176</v>
      </c>
      <c r="O36" s="12">
        <v>272</v>
      </c>
      <c r="P36" s="12">
        <v>256</v>
      </c>
      <c r="Q36" s="12">
        <v>253</v>
      </c>
      <c r="R36" s="12">
        <v>33</v>
      </c>
      <c r="S36" s="13">
        <v>1995</v>
      </c>
      <c r="T36" s="5"/>
      <c r="U36" s="33"/>
    </row>
    <row r="37" spans="1:21" ht="10.5" hidden="1" customHeight="1" x14ac:dyDescent="0.3">
      <c r="A37" s="14">
        <v>1996</v>
      </c>
      <c r="B37" s="15">
        <v>1756</v>
      </c>
      <c r="C37" s="15">
        <v>23</v>
      </c>
      <c r="D37" s="15">
        <v>25</v>
      </c>
      <c r="E37" s="15">
        <v>26</v>
      </c>
      <c r="F37" s="15">
        <v>25</v>
      </c>
      <c r="G37" s="15">
        <v>18</v>
      </c>
      <c r="H37" s="15">
        <v>15</v>
      </c>
      <c r="I37" s="15" t="s">
        <v>20</v>
      </c>
      <c r="J37" s="12">
        <v>177</v>
      </c>
      <c r="K37" s="12">
        <v>129</v>
      </c>
      <c r="L37" s="12">
        <v>111</v>
      </c>
      <c r="M37" s="12">
        <v>201</v>
      </c>
      <c r="N37" s="12">
        <v>178</v>
      </c>
      <c r="O37" s="12">
        <v>277</v>
      </c>
      <c r="P37" s="12">
        <v>261</v>
      </c>
      <c r="Q37" s="12">
        <v>257</v>
      </c>
      <c r="R37" s="12">
        <v>33</v>
      </c>
      <c r="S37" s="13">
        <v>1996</v>
      </c>
      <c r="T37" s="5"/>
      <c r="U37" s="33"/>
    </row>
    <row r="38" spans="1:21" ht="10.5" hidden="1" customHeight="1" x14ac:dyDescent="0.3">
      <c r="A38" s="11">
        <v>1997</v>
      </c>
      <c r="B38" s="12">
        <v>1733</v>
      </c>
      <c r="C38" s="12">
        <v>24</v>
      </c>
      <c r="D38" s="12">
        <v>27</v>
      </c>
      <c r="E38" s="12">
        <v>28</v>
      </c>
      <c r="F38" s="12">
        <v>25</v>
      </c>
      <c r="G38" s="12">
        <v>20</v>
      </c>
      <c r="H38" s="12">
        <v>15</v>
      </c>
      <c r="I38" s="12">
        <v>20</v>
      </c>
      <c r="J38" s="12">
        <v>177</v>
      </c>
      <c r="K38" s="12">
        <v>128</v>
      </c>
      <c r="L38" s="12">
        <v>108</v>
      </c>
      <c r="M38" s="12">
        <v>204</v>
      </c>
      <c r="N38" s="12">
        <v>175</v>
      </c>
      <c r="O38" s="12">
        <v>260</v>
      </c>
      <c r="P38" s="12">
        <v>261</v>
      </c>
      <c r="Q38" s="12">
        <v>228</v>
      </c>
      <c r="R38" s="12">
        <v>33</v>
      </c>
      <c r="S38" s="13">
        <v>1997</v>
      </c>
      <c r="T38" s="5"/>
      <c r="U38" s="33"/>
    </row>
    <row r="39" spans="1:21" ht="10.5" hidden="1" customHeight="1" x14ac:dyDescent="0.3">
      <c r="A39" s="11">
        <v>1998</v>
      </c>
      <c r="B39" s="12">
        <v>1662</v>
      </c>
      <c r="C39" s="12">
        <v>24</v>
      </c>
      <c r="D39" s="12">
        <v>27</v>
      </c>
      <c r="E39" s="12">
        <v>28</v>
      </c>
      <c r="F39" s="12">
        <v>26</v>
      </c>
      <c r="G39" s="12">
        <v>20</v>
      </c>
      <c r="H39" s="12">
        <v>15</v>
      </c>
      <c r="I39" s="12">
        <v>20</v>
      </c>
      <c r="J39" s="12">
        <v>175</v>
      </c>
      <c r="K39" s="12">
        <v>126</v>
      </c>
      <c r="L39" s="12">
        <v>99</v>
      </c>
      <c r="M39" s="12">
        <v>192</v>
      </c>
      <c r="N39" s="12">
        <v>166</v>
      </c>
      <c r="O39" s="12">
        <v>247</v>
      </c>
      <c r="P39" s="12">
        <v>250</v>
      </c>
      <c r="Q39" s="12">
        <v>214</v>
      </c>
      <c r="R39" s="12">
        <v>33</v>
      </c>
      <c r="S39" s="13">
        <v>1998</v>
      </c>
      <c r="T39" s="5"/>
      <c r="U39" s="33"/>
    </row>
    <row r="40" spans="1:21" ht="10.5" hidden="1" customHeight="1" x14ac:dyDescent="0.3">
      <c r="A40" s="11">
        <v>1999</v>
      </c>
      <c r="B40" s="12">
        <v>1599</v>
      </c>
      <c r="C40" s="12">
        <v>24</v>
      </c>
      <c r="D40" s="12">
        <v>23</v>
      </c>
      <c r="E40" s="12">
        <v>28</v>
      </c>
      <c r="F40" s="12">
        <v>26</v>
      </c>
      <c r="G40" s="12">
        <v>19</v>
      </c>
      <c r="H40" s="12">
        <v>16</v>
      </c>
      <c r="I40" s="12">
        <v>20</v>
      </c>
      <c r="J40" s="12">
        <v>174</v>
      </c>
      <c r="K40" s="12">
        <v>121</v>
      </c>
      <c r="L40" s="12">
        <v>97</v>
      </c>
      <c r="M40" s="12">
        <v>188</v>
      </c>
      <c r="N40" s="12">
        <v>148</v>
      </c>
      <c r="O40" s="12">
        <v>241</v>
      </c>
      <c r="P40" s="12">
        <v>237</v>
      </c>
      <c r="Q40" s="12">
        <v>203</v>
      </c>
      <c r="R40" s="12">
        <v>34</v>
      </c>
      <c r="S40" s="13">
        <v>1999</v>
      </c>
      <c r="T40" s="5"/>
      <c r="U40" s="33"/>
    </row>
    <row r="41" spans="1:21" ht="10.5" customHeight="1" x14ac:dyDescent="0.3">
      <c r="A41" s="11">
        <v>2000</v>
      </c>
      <c r="B41" s="12">
        <v>1624</v>
      </c>
      <c r="C41" s="12">
        <v>24</v>
      </c>
      <c r="D41" s="12">
        <v>22</v>
      </c>
      <c r="E41" s="12">
        <v>23</v>
      </c>
      <c r="F41" s="12">
        <v>27</v>
      </c>
      <c r="G41" s="12">
        <v>18</v>
      </c>
      <c r="H41" s="12">
        <v>15</v>
      </c>
      <c r="I41" s="12">
        <v>20</v>
      </c>
      <c r="J41" s="12">
        <v>180</v>
      </c>
      <c r="K41" s="12">
        <v>122</v>
      </c>
      <c r="L41" s="12">
        <v>99</v>
      </c>
      <c r="M41" s="12">
        <v>196</v>
      </c>
      <c r="N41" s="12">
        <v>147</v>
      </c>
      <c r="O41" s="12">
        <v>245</v>
      </c>
      <c r="P41" s="12">
        <v>247</v>
      </c>
      <c r="Q41" s="12">
        <v>205</v>
      </c>
      <c r="R41" s="12">
        <v>34</v>
      </c>
      <c r="S41" s="13">
        <v>2000</v>
      </c>
      <c r="T41" s="5"/>
      <c r="U41" s="33"/>
    </row>
    <row r="42" spans="1:21" ht="10.5" customHeight="1" x14ac:dyDescent="0.3">
      <c r="A42" s="11">
        <v>2001</v>
      </c>
      <c r="B42" s="12">
        <f>1383+103+132</f>
        <v>1618</v>
      </c>
      <c r="C42" s="12">
        <f>20+3+1</f>
        <v>24</v>
      </c>
      <c r="D42" s="12">
        <f>14+7+1</f>
        <v>22</v>
      </c>
      <c r="E42" s="12">
        <f>22+0+1</f>
        <v>23</v>
      </c>
      <c r="F42" s="12">
        <f>22+4+1</f>
        <v>27</v>
      </c>
      <c r="G42" s="12">
        <f>16+1+1</f>
        <v>18</v>
      </c>
      <c r="H42" s="12">
        <f>14+0+1</f>
        <v>15</v>
      </c>
      <c r="I42" s="12">
        <f>17+2+1</f>
        <v>20</v>
      </c>
      <c r="J42" s="12">
        <f>165+1+14</f>
        <v>180</v>
      </c>
      <c r="K42" s="12">
        <f>100+9+13</f>
        <v>122</v>
      </c>
      <c r="L42" s="12">
        <f>89+0+10</f>
        <v>99</v>
      </c>
      <c r="M42" s="12">
        <f>169+10+12</f>
        <v>191</v>
      </c>
      <c r="N42" s="12">
        <f>129+4+13</f>
        <v>146</v>
      </c>
      <c r="O42" s="12">
        <f>202+22+21</f>
        <v>245</v>
      </c>
      <c r="P42" s="12">
        <f>210+14+22</f>
        <v>246</v>
      </c>
      <c r="Q42" s="12">
        <f>169+19+18</f>
        <v>206</v>
      </c>
      <c r="R42" s="12">
        <f>25+7+2</f>
        <v>34</v>
      </c>
      <c r="S42" s="13">
        <v>2001</v>
      </c>
      <c r="T42" s="5"/>
      <c r="U42" s="33"/>
    </row>
    <row r="43" spans="1:21" ht="10.5" customHeight="1" x14ac:dyDescent="0.3">
      <c r="A43" s="11">
        <v>2002</v>
      </c>
      <c r="B43" s="12">
        <v>1593</v>
      </c>
      <c r="C43" s="12">
        <v>23</v>
      </c>
      <c r="D43" s="12">
        <v>22</v>
      </c>
      <c r="E43" s="12">
        <v>23</v>
      </c>
      <c r="F43" s="12">
        <v>27</v>
      </c>
      <c r="G43" s="12">
        <v>18</v>
      </c>
      <c r="H43" s="12">
        <v>15</v>
      </c>
      <c r="I43" s="12">
        <v>19</v>
      </c>
      <c r="J43" s="12">
        <v>180</v>
      </c>
      <c r="K43" s="12">
        <v>120</v>
      </c>
      <c r="L43" s="12">
        <v>98</v>
      </c>
      <c r="M43" s="12">
        <v>188</v>
      </c>
      <c r="N43" s="12">
        <v>145</v>
      </c>
      <c r="O43" s="12">
        <v>242</v>
      </c>
      <c r="P43" s="12">
        <v>234</v>
      </c>
      <c r="Q43" s="12">
        <v>205</v>
      </c>
      <c r="R43" s="12">
        <v>34</v>
      </c>
      <c r="S43" s="13">
        <v>2002</v>
      </c>
      <c r="T43" s="5"/>
      <c r="U43" s="33"/>
    </row>
    <row r="44" spans="1:21" ht="6" customHeight="1" x14ac:dyDescent="0.3">
      <c r="A44" s="11" t="s">
        <v>1</v>
      </c>
      <c r="B44" s="12" t="s">
        <v>2</v>
      </c>
      <c r="C44" s="12" t="s">
        <v>3</v>
      </c>
      <c r="D44" s="12" t="s">
        <v>3</v>
      </c>
      <c r="E44" s="12" t="s">
        <v>3</v>
      </c>
      <c r="F44" s="12" t="s">
        <v>3</v>
      </c>
      <c r="G44" s="12" t="s">
        <v>0</v>
      </c>
      <c r="H44" s="12" t="s">
        <v>0</v>
      </c>
      <c r="I44" s="12" t="s">
        <v>0</v>
      </c>
      <c r="J44" s="12" t="s">
        <v>0</v>
      </c>
      <c r="K44" s="12" t="s">
        <v>0</v>
      </c>
      <c r="L44" s="12" t="s">
        <v>0</v>
      </c>
      <c r="M44" s="12" t="s">
        <v>0</v>
      </c>
      <c r="N44" s="12" t="s">
        <v>0</v>
      </c>
      <c r="O44" s="12" t="s">
        <v>0</v>
      </c>
      <c r="P44" s="12" t="s">
        <v>0</v>
      </c>
      <c r="Q44" s="12" t="s">
        <v>0</v>
      </c>
      <c r="R44" s="12" t="s">
        <v>0</v>
      </c>
      <c r="S44" s="13"/>
      <c r="T44" s="5"/>
      <c r="U44" s="33"/>
    </row>
    <row r="45" spans="1:21" ht="10.5" customHeight="1" x14ac:dyDescent="0.3">
      <c r="A45" s="11">
        <v>2003</v>
      </c>
      <c r="B45" s="12">
        <v>1555</v>
      </c>
      <c r="C45" s="12">
        <v>23</v>
      </c>
      <c r="D45" s="12">
        <v>22</v>
      </c>
      <c r="E45" s="12">
        <v>24</v>
      </c>
      <c r="F45" s="12">
        <v>27</v>
      </c>
      <c r="G45" s="12">
        <v>17</v>
      </c>
      <c r="H45" s="12">
        <v>15</v>
      </c>
      <c r="I45" s="12">
        <v>19</v>
      </c>
      <c r="J45" s="12">
        <v>178</v>
      </c>
      <c r="K45" s="12">
        <v>114</v>
      </c>
      <c r="L45" s="12">
        <v>95</v>
      </c>
      <c r="M45" s="12">
        <v>185</v>
      </c>
      <c r="N45" s="12">
        <v>136</v>
      </c>
      <c r="O45" s="12">
        <v>238</v>
      </c>
      <c r="P45" s="12">
        <v>229</v>
      </c>
      <c r="Q45" s="12">
        <v>200</v>
      </c>
      <c r="R45" s="12">
        <v>33</v>
      </c>
      <c r="S45" s="19">
        <v>2003</v>
      </c>
      <c r="T45" s="5"/>
      <c r="U45" s="33"/>
    </row>
    <row r="46" spans="1:21" s="30" customFormat="1" ht="10.5" customHeight="1" x14ac:dyDescent="0.3">
      <c r="A46" s="17">
        <v>2004</v>
      </c>
      <c r="B46" s="15">
        <v>1551</v>
      </c>
      <c r="C46" s="15">
        <v>23</v>
      </c>
      <c r="D46" s="15">
        <v>22</v>
      </c>
      <c r="E46" s="15">
        <v>22</v>
      </c>
      <c r="F46" s="15">
        <v>27</v>
      </c>
      <c r="G46" s="15">
        <v>16</v>
      </c>
      <c r="H46" s="15">
        <v>15</v>
      </c>
      <c r="I46" s="15">
        <v>19</v>
      </c>
      <c r="J46" s="15">
        <v>179</v>
      </c>
      <c r="K46" s="15">
        <v>112</v>
      </c>
      <c r="L46" s="15">
        <v>94</v>
      </c>
      <c r="M46" s="15">
        <v>187</v>
      </c>
      <c r="N46" s="15">
        <v>135</v>
      </c>
      <c r="O46" s="15">
        <v>238</v>
      </c>
      <c r="P46" s="15">
        <v>228</v>
      </c>
      <c r="Q46" s="15">
        <v>201</v>
      </c>
      <c r="R46" s="15">
        <v>33</v>
      </c>
      <c r="S46" s="17">
        <v>2004</v>
      </c>
      <c r="T46" s="5"/>
      <c r="U46" s="33"/>
    </row>
    <row r="47" spans="1:21" s="30" customFormat="1" ht="10.5" customHeight="1" x14ac:dyDescent="0.3">
      <c r="A47" s="17">
        <v>2005</v>
      </c>
      <c r="B47" s="15">
        <v>1522</v>
      </c>
      <c r="C47" s="15">
        <v>23</v>
      </c>
      <c r="D47" s="15">
        <v>24</v>
      </c>
      <c r="E47" s="15">
        <v>26</v>
      </c>
      <c r="F47" s="15">
        <v>27</v>
      </c>
      <c r="G47" s="15">
        <v>18</v>
      </c>
      <c r="H47" s="15">
        <v>16</v>
      </c>
      <c r="I47" s="15">
        <v>19</v>
      </c>
      <c r="J47" s="15">
        <v>179</v>
      </c>
      <c r="K47" s="15">
        <v>110</v>
      </c>
      <c r="L47" s="15">
        <v>91</v>
      </c>
      <c r="M47" s="15">
        <v>184</v>
      </c>
      <c r="N47" s="15">
        <v>132</v>
      </c>
      <c r="O47" s="15">
        <v>223</v>
      </c>
      <c r="P47" s="15">
        <v>222</v>
      </c>
      <c r="Q47" s="15">
        <v>195</v>
      </c>
      <c r="R47" s="15">
        <v>33</v>
      </c>
      <c r="S47" s="17">
        <v>2005</v>
      </c>
      <c r="T47" s="5"/>
      <c r="U47" s="33"/>
    </row>
    <row r="48" spans="1:21" s="53" customFormat="1" ht="10.5" customHeight="1" x14ac:dyDescent="0.3">
      <c r="A48" s="48">
        <v>2006</v>
      </c>
      <c r="B48" s="50">
        <v>1522</v>
      </c>
      <c r="C48" s="50">
        <v>23</v>
      </c>
      <c r="D48" s="50">
        <v>24</v>
      </c>
      <c r="E48" s="50">
        <v>26</v>
      </c>
      <c r="F48" s="50">
        <v>27</v>
      </c>
      <c r="G48" s="50">
        <v>18</v>
      </c>
      <c r="H48" s="50">
        <v>16</v>
      </c>
      <c r="I48" s="50">
        <v>19</v>
      </c>
      <c r="J48" s="50">
        <v>179</v>
      </c>
      <c r="K48" s="50">
        <v>110</v>
      </c>
      <c r="L48" s="50">
        <v>91</v>
      </c>
      <c r="M48" s="50">
        <v>184</v>
      </c>
      <c r="N48" s="50">
        <v>132</v>
      </c>
      <c r="O48" s="50">
        <v>223</v>
      </c>
      <c r="P48" s="50">
        <v>222</v>
      </c>
      <c r="Q48" s="50">
        <v>195</v>
      </c>
      <c r="R48" s="50">
        <v>33</v>
      </c>
      <c r="S48" s="48">
        <v>2006</v>
      </c>
      <c r="T48" s="51"/>
      <c r="U48" s="51"/>
    </row>
    <row r="49" spans="1:21" ht="16.5" customHeight="1" x14ac:dyDescent="0.3">
      <c r="A49" s="133" t="s">
        <v>134</v>
      </c>
      <c r="B49" s="133"/>
      <c r="C49" s="133"/>
      <c r="D49" s="133"/>
      <c r="E49" s="133"/>
      <c r="F49" s="133"/>
      <c r="G49" s="133"/>
      <c r="H49" s="133"/>
      <c r="I49" s="133"/>
      <c r="J49" s="136" t="s">
        <v>134</v>
      </c>
      <c r="K49" s="136"/>
      <c r="L49" s="136"/>
      <c r="M49" s="136"/>
      <c r="N49" s="136"/>
      <c r="O49" s="136"/>
      <c r="P49" s="136"/>
      <c r="Q49" s="136"/>
      <c r="R49" s="136"/>
      <c r="S49" s="136"/>
      <c r="T49" s="5"/>
      <c r="U49" s="33"/>
    </row>
    <row r="50" spans="1:21" ht="10.5" hidden="1" customHeight="1" x14ac:dyDescent="0.3">
      <c r="A50" s="11">
        <v>1994</v>
      </c>
      <c r="B50" s="12">
        <v>3063</v>
      </c>
      <c r="C50" s="12">
        <v>531</v>
      </c>
      <c r="D50" s="12">
        <v>242</v>
      </c>
      <c r="E50" s="12">
        <v>171</v>
      </c>
      <c r="F50" s="12">
        <v>121</v>
      </c>
      <c r="G50" s="12">
        <v>90</v>
      </c>
      <c r="H50" s="12">
        <v>92</v>
      </c>
      <c r="I50" s="12" t="s">
        <v>20</v>
      </c>
      <c r="J50" s="12">
        <v>340</v>
      </c>
      <c r="K50" s="12">
        <v>176</v>
      </c>
      <c r="L50" s="12">
        <v>132</v>
      </c>
      <c r="M50" s="12">
        <v>128</v>
      </c>
      <c r="N50" s="12">
        <v>148</v>
      </c>
      <c r="O50" s="12">
        <v>176</v>
      </c>
      <c r="P50" s="12">
        <v>343</v>
      </c>
      <c r="Q50" s="12">
        <v>310</v>
      </c>
      <c r="R50" s="12">
        <v>63</v>
      </c>
      <c r="S50" s="13">
        <v>1994</v>
      </c>
      <c r="T50" s="5"/>
      <c r="U50" s="33"/>
    </row>
    <row r="51" spans="1:21" ht="10.5" hidden="1" customHeight="1" x14ac:dyDescent="0.3">
      <c r="A51" s="11">
        <v>1995</v>
      </c>
      <c r="B51" s="12">
        <v>2969</v>
      </c>
      <c r="C51" s="12">
        <v>519</v>
      </c>
      <c r="D51" s="12">
        <v>248</v>
      </c>
      <c r="E51" s="12">
        <v>185</v>
      </c>
      <c r="F51" s="12">
        <v>116</v>
      </c>
      <c r="G51" s="12">
        <v>90</v>
      </c>
      <c r="H51" s="12">
        <v>93</v>
      </c>
      <c r="I51" s="12" t="s">
        <v>20</v>
      </c>
      <c r="J51" s="12">
        <v>315</v>
      </c>
      <c r="K51" s="12">
        <v>160</v>
      </c>
      <c r="L51" s="12">
        <v>121</v>
      </c>
      <c r="M51" s="12">
        <v>124</v>
      </c>
      <c r="N51" s="12">
        <v>146</v>
      </c>
      <c r="O51" s="12">
        <v>169</v>
      </c>
      <c r="P51" s="12">
        <v>327</v>
      </c>
      <c r="Q51" s="12">
        <v>292</v>
      </c>
      <c r="R51" s="12">
        <v>64</v>
      </c>
      <c r="S51" s="13">
        <v>1995</v>
      </c>
      <c r="T51" s="5"/>
      <c r="U51" s="33"/>
    </row>
    <row r="52" spans="1:21" ht="10.5" hidden="1" customHeight="1" x14ac:dyDescent="0.3">
      <c r="A52" s="11">
        <v>1996</v>
      </c>
      <c r="B52" s="12">
        <v>2863</v>
      </c>
      <c r="C52" s="12">
        <v>503</v>
      </c>
      <c r="D52" s="12">
        <v>248</v>
      </c>
      <c r="E52" s="12">
        <v>179</v>
      </c>
      <c r="F52" s="12">
        <v>112</v>
      </c>
      <c r="G52" s="12">
        <v>88</v>
      </c>
      <c r="H52" s="12">
        <v>90</v>
      </c>
      <c r="I52" s="12" t="s">
        <v>20</v>
      </c>
      <c r="J52" s="12">
        <v>300</v>
      </c>
      <c r="K52" s="12">
        <v>153</v>
      </c>
      <c r="L52" s="12">
        <v>115</v>
      </c>
      <c r="M52" s="12">
        <v>120</v>
      </c>
      <c r="N52" s="12">
        <v>141</v>
      </c>
      <c r="O52" s="12">
        <v>166</v>
      </c>
      <c r="P52" s="12">
        <v>316</v>
      </c>
      <c r="Q52" s="12">
        <v>267</v>
      </c>
      <c r="R52" s="12">
        <v>65</v>
      </c>
      <c r="S52" s="13">
        <v>1996</v>
      </c>
      <c r="T52" s="5"/>
      <c r="U52" s="33"/>
    </row>
    <row r="53" spans="1:21" ht="10.5" hidden="1" customHeight="1" x14ac:dyDescent="0.3">
      <c r="A53" s="11">
        <v>1997</v>
      </c>
      <c r="B53" s="12">
        <v>2743</v>
      </c>
      <c r="C53" s="12">
        <v>479</v>
      </c>
      <c r="D53" s="12">
        <v>240</v>
      </c>
      <c r="E53" s="12">
        <v>176</v>
      </c>
      <c r="F53" s="12">
        <v>106</v>
      </c>
      <c r="G53" s="12">
        <v>88</v>
      </c>
      <c r="H53" s="12">
        <v>85</v>
      </c>
      <c r="I53" s="12">
        <v>49</v>
      </c>
      <c r="J53" s="12">
        <v>292</v>
      </c>
      <c r="K53" s="12">
        <v>144</v>
      </c>
      <c r="L53" s="12">
        <v>110</v>
      </c>
      <c r="M53" s="12">
        <v>116</v>
      </c>
      <c r="N53" s="12">
        <v>136</v>
      </c>
      <c r="O53" s="12">
        <v>158</v>
      </c>
      <c r="P53" s="12">
        <v>303</v>
      </c>
      <c r="Q53" s="12">
        <v>200</v>
      </c>
      <c r="R53" s="12">
        <v>61</v>
      </c>
      <c r="S53" s="13">
        <v>1997</v>
      </c>
      <c r="T53" s="5"/>
      <c r="U53" s="33"/>
    </row>
    <row r="54" spans="1:21" ht="10.5" hidden="1" customHeight="1" x14ac:dyDescent="0.3">
      <c r="A54" s="11">
        <v>1998</v>
      </c>
      <c r="B54" s="12">
        <v>2590</v>
      </c>
      <c r="C54" s="12">
        <v>450</v>
      </c>
      <c r="D54" s="12">
        <v>234</v>
      </c>
      <c r="E54" s="12">
        <v>170</v>
      </c>
      <c r="F54" s="12">
        <v>103</v>
      </c>
      <c r="G54" s="12">
        <v>83</v>
      </c>
      <c r="H54" s="12">
        <v>77</v>
      </c>
      <c r="I54" s="12">
        <v>44</v>
      </c>
      <c r="J54" s="12">
        <v>265</v>
      </c>
      <c r="K54" s="12">
        <v>136</v>
      </c>
      <c r="L54" s="12">
        <v>102</v>
      </c>
      <c r="M54" s="12">
        <v>117</v>
      </c>
      <c r="N54" s="12">
        <v>126</v>
      </c>
      <c r="O54" s="12">
        <v>152</v>
      </c>
      <c r="P54" s="12">
        <v>282</v>
      </c>
      <c r="Q54" s="12">
        <v>192</v>
      </c>
      <c r="R54" s="12">
        <v>57</v>
      </c>
      <c r="S54" s="13">
        <v>1998</v>
      </c>
      <c r="T54" s="5"/>
      <c r="U54" s="33"/>
    </row>
    <row r="55" spans="1:21" ht="10.5" hidden="1" customHeight="1" x14ac:dyDescent="0.3">
      <c r="A55" s="11">
        <v>1999</v>
      </c>
      <c r="B55" s="12">
        <v>2126</v>
      </c>
      <c r="C55" s="12">
        <v>414</v>
      </c>
      <c r="D55" s="12">
        <v>225</v>
      </c>
      <c r="E55" s="12">
        <v>161</v>
      </c>
      <c r="F55" s="12">
        <v>90</v>
      </c>
      <c r="G55" s="12">
        <v>70</v>
      </c>
      <c r="H55" s="12">
        <v>70</v>
      </c>
      <c r="I55" s="12">
        <v>36</v>
      </c>
      <c r="J55" s="12">
        <v>174</v>
      </c>
      <c r="K55" s="12">
        <v>83</v>
      </c>
      <c r="L55" s="12">
        <v>73</v>
      </c>
      <c r="M55" s="12">
        <v>92</v>
      </c>
      <c r="N55" s="12">
        <v>104</v>
      </c>
      <c r="O55" s="12">
        <v>105</v>
      </c>
      <c r="P55" s="12">
        <v>223</v>
      </c>
      <c r="Q55" s="12">
        <v>150</v>
      </c>
      <c r="R55" s="12">
        <v>56</v>
      </c>
      <c r="S55" s="13">
        <v>1999</v>
      </c>
      <c r="T55" s="5"/>
      <c r="U55" s="33"/>
    </row>
    <row r="56" spans="1:21" ht="10.5" customHeight="1" x14ac:dyDescent="0.3">
      <c r="A56" s="11">
        <v>2000</v>
      </c>
      <c r="B56" s="12">
        <v>1817</v>
      </c>
      <c r="C56" s="12">
        <v>339</v>
      </c>
      <c r="D56" s="12">
        <v>212</v>
      </c>
      <c r="E56" s="12">
        <v>145</v>
      </c>
      <c r="F56" s="12">
        <v>74</v>
      </c>
      <c r="G56" s="12">
        <v>56</v>
      </c>
      <c r="H56" s="12">
        <v>60</v>
      </c>
      <c r="I56" s="12">
        <v>35</v>
      </c>
      <c r="J56" s="12">
        <v>140</v>
      </c>
      <c r="K56" s="12">
        <v>72</v>
      </c>
      <c r="L56" s="12">
        <v>65</v>
      </c>
      <c r="M56" s="12">
        <v>75</v>
      </c>
      <c r="N56" s="12">
        <v>84</v>
      </c>
      <c r="O56" s="12">
        <v>91</v>
      </c>
      <c r="P56" s="12">
        <v>184</v>
      </c>
      <c r="Q56" s="12">
        <v>137</v>
      </c>
      <c r="R56" s="12">
        <v>48</v>
      </c>
      <c r="S56" s="13">
        <v>2000</v>
      </c>
      <c r="T56" s="5"/>
      <c r="U56" s="33"/>
    </row>
    <row r="57" spans="1:21" ht="10.5" customHeight="1" x14ac:dyDescent="0.3">
      <c r="A57" s="11">
        <v>2001</v>
      </c>
      <c r="B57" s="12">
        <v>1730</v>
      </c>
      <c r="C57" s="12">
        <v>315</v>
      </c>
      <c r="D57" s="12">
        <v>203</v>
      </c>
      <c r="E57" s="12">
        <v>133</v>
      </c>
      <c r="F57" s="12">
        <v>64</v>
      </c>
      <c r="G57" s="12">
        <v>54</v>
      </c>
      <c r="H57" s="12">
        <v>56</v>
      </c>
      <c r="I57" s="12">
        <v>35</v>
      </c>
      <c r="J57" s="12">
        <v>138</v>
      </c>
      <c r="K57" s="12">
        <v>67</v>
      </c>
      <c r="L57" s="12">
        <v>63</v>
      </c>
      <c r="M57" s="12">
        <v>71</v>
      </c>
      <c r="N57" s="12">
        <v>82</v>
      </c>
      <c r="O57" s="12">
        <v>87</v>
      </c>
      <c r="P57" s="12">
        <v>183</v>
      </c>
      <c r="Q57" s="12">
        <v>133</v>
      </c>
      <c r="R57" s="12">
        <v>46</v>
      </c>
      <c r="S57" s="13">
        <v>2001</v>
      </c>
      <c r="T57" s="5"/>
      <c r="U57" s="33"/>
    </row>
    <row r="58" spans="1:21" ht="10.5" customHeight="1" x14ac:dyDescent="0.3">
      <c r="A58" s="11">
        <v>2002</v>
      </c>
      <c r="B58" s="12">
        <v>1701</v>
      </c>
      <c r="C58" s="12">
        <v>309</v>
      </c>
      <c r="D58" s="12">
        <v>202</v>
      </c>
      <c r="E58" s="12">
        <v>133</v>
      </c>
      <c r="F58" s="12">
        <v>61</v>
      </c>
      <c r="G58" s="12">
        <v>53</v>
      </c>
      <c r="H58" s="12">
        <v>55</v>
      </c>
      <c r="I58" s="12">
        <v>35</v>
      </c>
      <c r="J58" s="12">
        <v>137</v>
      </c>
      <c r="K58" s="12">
        <v>66</v>
      </c>
      <c r="L58" s="12">
        <v>62</v>
      </c>
      <c r="M58" s="12">
        <v>70</v>
      </c>
      <c r="N58" s="12">
        <v>78</v>
      </c>
      <c r="O58" s="12">
        <v>84</v>
      </c>
      <c r="P58" s="12">
        <v>180</v>
      </c>
      <c r="Q58" s="12">
        <v>130</v>
      </c>
      <c r="R58" s="12">
        <v>46</v>
      </c>
      <c r="S58" s="13">
        <v>2002</v>
      </c>
      <c r="T58" s="5"/>
      <c r="U58" s="33"/>
    </row>
    <row r="59" spans="1:21" ht="6" customHeight="1" x14ac:dyDescent="0.3">
      <c r="A59" s="11" t="s">
        <v>1</v>
      </c>
      <c r="B59" s="12" t="s">
        <v>2</v>
      </c>
      <c r="C59" s="12" t="s">
        <v>3</v>
      </c>
      <c r="D59" s="12" t="s">
        <v>3</v>
      </c>
      <c r="E59" s="12" t="s">
        <v>3</v>
      </c>
      <c r="F59" s="12" t="s">
        <v>3</v>
      </c>
      <c r="G59" s="12" t="s">
        <v>0</v>
      </c>
      <c r="H59" s="12" t="s">
        <v>0</v>
      </c>
      <c r="I59" s="12" t="s">
        <v>0</v>
      </c>
      <c r="J59" s="12" t="s">
        <v>0</v>
      </c>
      <c r="K59" s="12" t="s">
        <v>0</v>
      </c>
      <c r="L59" s="12" t="s">
        <v>0</v>
      </c>
      <c r="M59" s="12" t="s">
        <v>0</v>
      </c>
      <c r="N59" s="12" t="s">
        <v>0</v>
      </c>
      <c r="O59" s="12" t="s">
        <v>0</v>
      </c>
      <c r="P59" s="12" t="s">
        <v>0</v>
      </c>
      <c r="Q59" s="12" t="s">
        <v>0</v>
      </c>
      <c r="R59" s="12" t="s">
        <v>0</v>
      </c>
      <c r="S59" s="13"/>
      <c r="T59" s="5"/>
      <c r="U59" s="33"/>
    </row>
    <row r="60" spans="1:21" ht="10.5" customHeight="1" x14ac:dyDescent="0.3">
      <c r="A60" s="11">
        <v>2003</v>
      </c>
      <c r="B60" s="12">
        <v>1671</v>
      </c>
      <c r="C60" s="12">
        <v>302</v>
      </c>
      <c r="D60" s="12">
        <v>200</v>
      </c>
      <c r="E60" s="12">
        <v>132</v>
      </c>
      <c r="F60" s="12">
        <v>59</v>
      </c>
      <c r="G60" s="12">
        <v>50</v>
      </c>
      <c r="H60" s="12">
        <v>53</v>
      </c>
      <c r="I60" s="12">
        <v>35</v>
      </c>
      <c r="J60" s="12">
        <v>137</v>
      </c>
      <c r="K60" s="12">
        <v>65</v>
      </c>
      <c r="L60" s="12">
        <v>59</v>
      </c>
      <c r="M60" s="12">
        <v>68</v>
      </c>
      <c r="N60" s="12">
        <v>76</v>
      </c>
      <c r="O60" s="12">
        <v>82</v>
      </c>
      <c r="P60" s="12">
        <v>179</v>
      </c>
      <c r="Q60" s="12">
        <v>128</v>
      </c>
      <c r="R60" s="12">
        <v>46</v>
      </c>
      <c r="S60" s="19">
        <v>2003</v>
      </c>
      <c r="T60" s="5"/>
      <c r="U60" s="33"/>
    </row>
    <row r="61" spans="1:21" s="30" customFormat="1" ht="10.5" customHeight="1" x14ac:dyDescent="0.3">
      <c r="A61" s="17">
        <v>2004</v>
      </c>
      <c r="B61" s="15">
        <v>1647</v>
      </c>
      <c r="C61" s="15">
        <v>302</v>
      </c>
      <c r="D61" s="15">
        <v>197</v>
      </c>
      <c r="E61" s="15">
        <v>131</v>
      </c>
      <c r="F61" s="15">
        <v>58</v>
      </c>
      <c r="G61" s="15">
        <v>49</v>
      </c>
      <c r="H61" s="15">
        <v>52</v>
      </c>
      <c r="I61" s="15">
        <v>35</v>
      </c>
      <c r="J61" s="15">
        <v>134</v>
      </c>
      <c r="K61" s="15">
        <v>65</v>
      </c>
      <c r="L61" s="15">
        <v>57</v>
      </c>
      <c r="M61" s="15">
        <v>68</v>
      </c>
      <c r="N61" s="15">
        <v>75</v>
      </c>
      <c r="O61" s="15">
        <v>76</v>
      </c>
      <c r="P61" s="15">
        <v>176</v>
      </c>
      <c r="Q61" s="15">
        <v>127</v>
      </c>
      <c r="R61" s="15">
        <v>45</v>
      </c>
      <c r="S61" s="17">
        <v>2004</v>
      </c>
      <c r="T61" s="5"/>
      <c r="U61" s="33"/>
    </row>
    <row r="62" spans="1:21" s="30" customFormat="1" ht="10.5" customHeight="1" x14ac:dyDescent="0.3">
      <c r="A62" s="17">
        <v>2005</v>
      </c>
      <c r="B62" s="15">
        <v>1612</v>
      </c>
      <c r="C62" s="15">
        <v>300</v>
      </c>
      <c r="D62" s="15">
        <v>193</v>
      </c>
      <c r="E62" s="15">
        <v>128</v>
      </c>
      <c r="F62" s="15">
        <v>58</v>
      </c>
      <c r="G62" s="15">
        <v>47</v>
      </c>
      <c r="H62" s="15">
        <v>48</v>
      </c>
      <c r="I62" s="15">
        <v>35</v>
      </c>
      <c r="J62" s="15">
        <v>130</v>
      </c>
      <c r="K62" s="15">
        <v>64</v>
      </c>
      <c r="L62" s="15">
        <v>56</v>
      </c>
      <c r="M62" s="15">
        <v>68</v>
      </c>
      <c r="N62" s="15">
        <v>74</v>
      </c>
      <c r="O62" s="15">
        <v>72</v>
      </c>
      <c r="P62" s="15">
        <v>170</v>
      </c>
      <c r="Q62" s="15">
        <v>124</v>
      </c>
      <c r="R62" s="15">
        <v>45</v>
      </c>
      <c r="S62" s="17">
        <v>2005</v>
      </c>
      <c r="T62" s="5"/>
      <c r="U62" s="33"/>
    </row>
    <row r="63" spans="1:21" s="53" customFormat="1" ht="10.5" customHeight="1" x14ac:dyDescent="0.3">
      <c r="A63" s="48">
        <v>2006</v>
      </c>
      <c r="B63" s="50">
        <v>1612</v>
      </c>
      <c r="C63" s="50">
        <v>300</v>
      </c>
      <c r="D63" s="50">
        <v>193</v>
      </c>
      <c r="E63" s="50">
        <v>128</v>
      </c>
      <c r="F63" s="50">
        <v>58</v>
      </c>
      <c r="G63" s="50">
        <v>47</v>
      </c>
      <c r="H63" s="50">
        <v>48</v>
      </c>
      <c r="I63" s="50">
        <v>35</v>
      </c>
      <c r="J63" s="50">
        <v>130</v>
      </c>
      <c r="K63" s="50">
        <v>64</v>
      </c>
      <c r="L63" s="50">
        <v>56</v>
      </c>
      <c r="M63" s="50">
        <v>68</v>
      </c>
      <c r="N63" s="50">
        <v>74</v>
      </c>
      <c r="O63" s="50">
        <v>72</v>
      </c>
      <c r="P63" s="50">
        <v>170</v>
      </c>
      <c r="Q63" s="50">
        <v>124</v>
      </c>
      <c r="R63" s="50">
        <v>45</v>
      </c>
      <c r="S63" s="48">
        <v>2006</v>
      </c>
      <c r="T63" s="51"/>
      <c r="U63" s="51"/>
    </row>
    <row r="64" spans="1:21" ht="16.5" customHeight="1" x14ac:dyDescent="0.3">
      <c r="A64" s="133" t="s">
        <v>135</v>
      </c>
      <c r="B64" s="133"/>
      <c r="C64" s="133"/>
      <c r="D64" s="133"/>
      <c r="E64" s="133"/>
      <c r="F64" s="133"/>
      <c r="G64" s="133"/>
      <c r="H64" s="133"/>
      <c r="I64" s="133"/>
      <c r="J64" s="136" t="s">
        <v>27</v>
      </c>
      <c r="K64" s="136"/>
      <c r="L64" s="136"/>
      <c r="M64" s="136"/>
      <c r="N64" s="136"/>
      <c r="O64" s="136"/>
      <c r="P64" s="136"/>
      <c r="Q64" s="136"/>
      <c r="R64" s="136"/>
      <c r="S64" s="136"/>
      <c r="T64" s="5"/>
      <c r="U64" s="33"/>
    </row>
    <row r="65" spans="1:21" ht="10.5" hidden="1" customHeight="1" x14ac:dyDescent="0.3">
      <c r="A65" s="11">
        <v>1994</v>
      </c>
      <c r="B65" s="12">
        <v>12430</v>
      </c>
      <c r="C65" s="12">
        <v>3479</v>
      </c>
      <c r="D65" s="12">
        <v>1351</v>
      </c>
      <c r="E65" s="12">
        <v>796</v>
      </c>
      <c r="F65" s="12">
        <v>543</v>
      </c>
      <c r="G65" s="12">
        <v>562</v>
      </c>
      <c r="H65" s="12">
        <v>437</v>
      </c>
      <c r="I65" s="12" t="s">
        <v>20</v>
      </c>
      <c r="J65" s="12">
        <v>1281</v>
      </c>
      <c r="K65" s="12">
        <v>395</v>
      </c>
      <c r="L65" s="12">
        <v>371</v>
      </c>
      <c r="M65" s="12">
        <v>328</v>
      </c>
      <c r="N65" s="12">
        <v>563</v>
      </c>
      <c r="O65" s="12">
        <v>516</v>
      </c>
      <c r="P65" s="12">
        <v>562</v>
      </c>
      <c r="Q65" s="12">
        <v>1040</v>
      </c>
      <c r="R65" s="12">
        <v>206</v>
      </c>
      <c r="S65" s="13">
        <v>1994</v>
      </c>
      <c r="T65" s="5"/>
      <c r="U65" s="33"/>
    </row>
    <row r="66" spans="1:21" ht="10.5" hidden="1" customHeight="1" x14ac:dyDescent="0.3">
      <c r="A66" s="11">
        <v>1995</v>
      </c>
      <c r="B66" s="12">
        <v>14773</v>
      </c>
      <c r="C66" s="12">
        <v>4092</v>
      </c>
      <c r="D66" s="12">
        <v>1531</v>
      </c>
      <c r="E66" s="12">
        <v>970</v>
      </c>
      <c r="F66" s="12">
        <v>657</v>
      </c>
      <c r="G66" s="12">
        <v>691</v>
      </c>
      <c r="H66" s="12">
        <v>517</v>
      </c>
      <c r="I66" s="12" t="s">
        <v>20</v>
      </c>
      <c r="J66" s="12">
        <v>1590</v>
      </c>
      <c r="K66" s="12">
        <v>486</v>
      </c>
      <c r="L66" s="12">
        <v>465</v>
      </c>
      <c r="M66" s="12">
        <v>370</v>
      </c>
      <c r="N66" s="12">
        <v>685</v>
      </c>
      <c r="O66" s="12">
        <v>609</v>
      </c>
      <c r="P66" s="12">
        <v>640</v>
      </c>
      <c r="Q66" s="12">
        <v>1213</v>
      </c>
      <c r="R66" s="12">
        <v>257</v>
      </c>
      <c r="S66" s="13">
        <v>1995</v>
      </c>
      <c r="T66" s="5"/>
      <c r="U66" s="33"/>
    </row>
    <row r="67" spans="1:21" ht="11.25" hidden="1" customHeight="1" x14ac:dyDescent="0.3">
      <c r="A67" s="11">
        <v>1996</v>
      </c>
      <c r="B67" s="12">
        <v>13846</v>
      </c>
      <c r="C67" s="12">
        <v>3732</v>
      </c>
      <c r="D67" s="12">
        <v>1403</v>
      </c>
      <c r="E67" s="12">
        <v>897</v>
      </c>
      <c r="F67" s="12">
        <v>629</v>
      </c>
      <c r="G67" s="12">
        <v>633</v>
      </c>
      <c r="H67" s="12">
        <v>471</v>
      </c>
      <c r="I67" s="12" t="s">
        <v>20</v>
      </c>
      <c r="J67" s="12">
        <v>1588</v>
      </c>
      <c r="K67" s="12">
        <v>474</v>
      </c>
      <c r="L67" s="12">
        <v>424</v>
      </c>
      <c r="M67" s="12">
        <v>352</v>
      </c>
      <c r="N67" s="12">
        <v>611</v>
      </c>
      <c r="O67" s="12">
        <v>584</v>
      </c>
      <c r="P67" s="12">
        <v>619</v>
      </c>
      <c r="Q67" s="12">
        <v>1185</v>
      </c>
      <c r="R67" s="12">
        <v>244</v>
      </c>
      <c r="S67" s="13">
        <v>1996</v>
      </c>
      <c r="T67" s="5"/>
      <c r="U67" s="33"/>
    </row>
    <row r="68" spans="1:21" ht="10.5" hidden="1" customHeight="1" x14ac:dyDescent="0.3">
      <c r="A68" s="11">
        <v>1997</v>
      </c>
      <c r="B68" s="12">
        <v>12244</v>
      </c>
      <c r="C68" s="12">
        <v>3153</v>
      </c>
      <c r="D68" s="12">
        <v>1164</v>
      </c>
      <c r="E68" s="12">
        <v>743</v>
      </c>
      <c r="F68" s="12">
        <v>567</v>
      </c>
      <c r="G68" s="12">
        <v>559</v>
      </c>
      <c r="H68" s="12">
        <v>418</v>
      </c>
      <c r="I68" s="12">
        <v>291</v>
      </c>
      <c r="J68" s="12">
        <v>1502</v>
      </c>
      <c r="K68" s="12">
        <v>452</v>
      </c>
      <c r="L68" s="12">
        <v>368</v>
      </c>
      <c r="M68" s="12">
        <v>343</v>
      </c>
      <c r="N68" s="12">
        <v>573</v>
      </c>
      <c r="O68" s="12">
        <v>534</v>
      </c>
      <c r="P68" s="12">
        <v>567</v>
      </c>
      <c r="Q68" s="12">
        <v>812</v>
      </c>
      <c r="R68" s="12">
        <v>198</v>
      </c>
      <c r="S68" s="13">
        <v>1997</v>
      </c>
      <c r="T68" s="5"/>
      <c r="U68" s="33"/>
    </row>
    <row r="69" spans="1:21" ht="10.5" hidden="1" customHeight="1" x14ac:dyDescent="0.3">
      <c r="A69" s="11">
        <v>1998</v>
      </c>
      <c r="B69" s="12">
        <v>8955</v>
      </c>
      <c r="C69" s="12">
        <v>2366</v>
      </c>
      <c r="D69" s="12">
        <v>823</v>
      </c>
      <c r="E69" s="12">
        <v>519</v>
      </c>
      <c r="F69" s="12">
        <v>404</v>
      </c>
      <c r="G69" s="12">
        <v>396</v>
      </c>
      <c r="H69" s="12">
        <v>293</v>
      </c>
      <c r="I69" s="12">
        <v>206</v>
      </c>
      <c r="J69" s="12">
        <v>1167</v>
      </c>
      <c r="K69" s="12">
        <v>326</v>
      </c>
      <c r="L69" s="12">
        <v>263</v>
      </c>
      <c r="M69" s="12">
        <v>260</v>
      </c>
      <c r="N69" s="12">
        <v>396</v>
      </c>
      <c r="O69" s="12">
        <v>395</v>
      </c>
      <c r="P69" s="12">
        <v>435</v>
      </c>
      <c r="Q69" s="12">
        <v>576</v>
      </c>
      <c r="R69" s="12">
        <v>130</v>
      </c>
      <c r="S69" s="13">
        <v>1998</v>
      </c>
      <c r="T69" s="5"/>
      <c r="U69" s="33"/>
    </row>
    <row r="70" spans="1:21" ht="10.5" hidden="1" customHeight="1" x14ac:dyDescent="0.3">
      <c r="A70" s="11">
        <v>1999</v>
      </c>
      <c r="B70" s="12">
        <v>8160</v>
      </c>
      <c r="C70" s="12">
        <v>2152</v>
      </c>
      <c r="D70" s="12">
        <v>739</v>
      </c>
      <c r="E70" s="12">
        <v>467</v>
      </c>
      <c r="F70" s="12">
        <v>379</v>
      </c>
      <c r="G70" s="12">
        <v>350</v>
      </c>
      <c r="H70" s="12">
        <v>248</v>
      </c>
      <c r="I70" s="12">
        <v>190</v>
      </c>
      <c r="J70" s="12">
        <v>1104</v>
      </c>
      <c r="K70" s="12">
        <v>307</v>
      </c>
      <c r="L70" s="12">
        <v>245</v>
      </c>
      <c r="M70" s="12">
        <v>244</v>
      </c>
      <c r="N70" s="12">
        <v>365</v>
      </c>
      <c r="O70" s="12">
        <v>369</v>
      </c>
      <c r="P70" s="12">
        <v>401</v>
      </c>
      <c r="Q70" s="12">
        <v>480</v>
      </c>
      <c r="R70" s="12">
        <v>120</v>
      </c>
      <c r="S70" s="13">
        <v>1999</v>
      </c>
      <c r="T70" s="5"/>
      <c r="U70" s="33"/>
    </row>
    <row r="71" spans="1:21" ht="10.5" customHeight="1" x14ac:dyDescent="0.3">
      <c r="A71" s="11">
        <v>2000</v>
      </c>
      <c r="B71" s="12">
        <v>6889</v>
      </c>
      <c r="C71" s="12">
        <v>1781</v>
      </c>
      <c r="D71" s="12">
        <v>604</v>
      </c>
      <c r="E71" s="12">
        <v>366</v>
      </c>
      <c r="F71" s="12">
        <v>337</v>
      </c>
      <c r="G71" s="12">
        <v>287</v>
      </c>
      <c r="H71" s="12">
        <v>208</v>
      </c>
      <c r="I71" s="12">
        <v>140</v>
      </c>
      <c r="J71" s="12">
        <v>1002</v>
      </c>
      <c r="K71" s="12">
        <v>264</v>
      </c>
      <c r="L71" s="12">
        <v>216</v>
      </c>
      <c r="M71" s="12">
        <v>212</v>
      </c>
      <c r="N71" s="12">
        <v>326</v>
      </c>
      <c r="O71" s="12">
        <v>303</v>
      </c>
      <c r="P71" s="12">
        <v>335</v>
      </c>
      <c r="Q71" s="12">
        <v>410</v>
      </c>
      <c r="R71" s="12">
        <v>98</v>
      </c>
      <c r="S71" s="13">
        <v>2000</v>
      </c>
      <c r="T71" s="5"/>
      <c r="U71" s="33"/>
    </row>
    <row r="72" spans="1:21" ht="10.5" customHeight="1" x14ac:dyDescent="0.3">
      <c r="A72" s="11">
        <v>2001</v>
      </c>
      <c r="B72" s="12">
        <v>5853</v>
      </c>
      <c r="C72" s="12">
        <v>1552</v>
      </c>
      <c r="D72" s="12">
        <v>508</v>
      </c>
      <c r="E72" s="12">
        <v>309</v>
      </c>
      <c r="F72" s="12">
        <v>287</v>
      </c>
      <c r="G72" s="12">
        <v>234</v>
      </c>
      <c r="H72" s="12">
        <v>176</v>
      </c>
      <c r="I72" s="12">
        <v>130</v>
      </c>
      <c r="J72" s="12">
        <v>878</v>
      </c>
      <c r="K72" s="12">
        <v>205</v>
      </c>
      <c r="L72" s="12">
        <v>183</v>
      </c>
      <c r="M72" s="12">
        <v>180</v>
      </c>
      <c r="N72" s="12">
        <v>270</v>
      </c>
      <c r="O72" s="12">
        <v>255</v>
      </c>
      <c r="P72" s="12">
        <v>270</v>
      </c>
      <c r="Q72" s="12">
        <v>335</v>
      </c>
      <c r="R72" s="12">
        <v>81</v>
      </c>
      <c r="S72" s="13">
        <v>2001</v>
      </c>
      <c r="T72" s="5"/>
      <c r="U72" s="33"/>
    </row>
    <row r="73" spans="1:21" ht="10.5" customHeight="1" x14ac:dyDescent="0.3">
      <c r="A73" s="11">
        <v>2002</v>
      </c>
      <c r="B73" s="12">
        <f>SUM(C73:R73)</f>
        <v>5130</v>
      </c>
      <c r="C73" s="12">
        <f>[3]Sheet1!$B$30</f>
        <v>1343</v>
      </c>
      <c r="D73" s="12">
        <f>[3]Sheet1!$C$30</f>
        <v>440</v>
      </c>
      <c r="E73" s="12">
        <f>[3]Sheet1!$D$30</f>
        <v>262</v>
      </c>
      <c r="F73" s="12">
        <f>[3]Sheet1!$E$30</f>
        <v>234</v>
      </c>
      <c r="G73" s="12">
        <f>[3]Sheet1!$F$30</f>
        <v>195</v>
      </c>
      <c r="H73" s="12">
        <f>[3]Sheet1!$G$30</f>
        <v>145</v>
      </c>
      <c r="I73" s="12">
        <f>[3]Sheet1!$H$30</f>
        <v>110</v>
      </c>
      <c r="J73" s="12">
        <f>[3]Sheet1!$I$30</f>
        <v>790</v>
      </c>
      <c r="K73" s="12">
        <f>[3]Sheet1!$J$30</f>
        <v>178</v>
      </c>
      <c r="L73" s="12">
        <f>[3]Sheet1!$K$30</f>
        <v>167</v>
      </c>
      <c r="M73" s="12">
        <f>[3]Sheet1!$L$30</f>
        <v>166</v>
      </c>
      <c r="N73" s="12">
        <f>[3]Sheet1!$M$30</f>
        <v>235</v>
      </c>
      <c r="O73" s="12">
        <f>[3]Sheet1!$N$30</f>
        <v>220</v>
      </c>
      <c r="P73" s="12">
        <f>[3]Sheet1!$O$30</f>
        <v>257</v>
      </c>
      <c r="Q73" s="12">
        <f>[3]Sheet1!$P$30</f>
        <v>313</v>
      </c>
      <c r="R73" s="12">
        <f>[3]Sheet1!$Q$30</f>
        <v>75</v>
      </c>
      <c r="S73" s="13">
        <v>2002</v>
      </c>
      <c r="T73" s="5"/>
      <c r="U73" s="33"/>
    </row>
    <row r="74" spans="1:21" ht="6" customHeight="1" x14ac:dyDescent="0.3">
      <c r="A74" s="11" t="s">
        <v>1</v>
      </c>
      <c r="B74" s="12" t="s">
        <v>2</v>
      </c>
      <c r="C74" s="12" t="s">
        <v>3</v>
      </c>
      <c r="D74" s="12" t="s">
        <v>3</v>
      </c>
      <c r="E74" s="12" t="s">
        <v>3</v>
      </c>
      <c r="F74" s="12" t="s">
        <v>3</v>
      </c>
      <c r="G74" s="12" t="s">
        <v>0</v>
      </c>
      <c r="H74" s="12" t="s">
        <v>0</v>
      </c>
      <c r="I74" s="12" t="s">
        <v>0</v>
      </c>
      <c r="J74" s="12" t="s">
        <v>0</v>
      </c>
      <c r="K74" s="12" t="s">
        <v>0</v>
      </c>
      <c r="L74" s="12" t="s">
        <v>0</v>
      </c>
      <c r="M74" s="12" t="s">
        <v>0</v>
      </c>
      <c r="N74" s="12" t="s">
        <v>0</v>
      </c>
      <c r="O74" s="12" t="s">
        <v>0</v>
      </c>
      <c r="P74" s="12" t="s">
        <v>0</v>
      </c>
      <c r="Q74" s="12" t="s">
        <v>0</v>
      </c>
      <c r="R74" s="12" t="s">
        <v>0</v>
      </c>
      <c r="S74" s="13"/>
      <c r="T74" s="5"/>
      <c r="U74" s="33"/>
    </row>
    <row r="75" spans="1:21" ht="10.5" customHeight="1" x14ac:dyDescent="0.3">
      <c r="A75" s="11">
        <v>2003</v>
      </c>
      <c r="B75" s="12">
        <v>4744</v>
      </c>
      <c r="C75" s="12">
        <v>1293</v>
      </c>
      <c r="D75" s="12">
        <v>393</v>
      </c>
      <c r="E75" s="12">
        <v>248</v>
      </c>
      <c r="F75" s="12">
        <v>216</v>
      </c>
      <c r="G75" s="12">
        <v>187</v>
      </c>
      <c r="H75" s="12">
        <v>144</v>
      </c>
      <c r="I75" s="12">
        <v>106</v>
      </c>
      <c r="J75" s="12">
        <v>744</v>
      </c>
      <c r="K75" s="12">
        <v>152</v>
      </c>
      <c r="L75" s="12">
        <v>140</v>
      </c>
      <c r="M75" s="12">
        <v>149</v>
      </c>
      <c r="N75" s="12">
        <v>218</v>
      </c>
      <c r="O75" s="12">
        <v>194</v>
      </c>
      <c r="P75" s="12">
        <v>220</v>
      </c>
      <c r="Q75" s="12">
        <v>281</v>
      </c>
      <c r="R75" s="12">
        <v>67</v>
      </c>
      <c r="S75" s="13">
        <v>2003</v>
      </c>
      <c r="T75" s="5"/>
      <c r="U75" s="33"/>
    </row>
    <row r="76" spans="1:21" s="42" customFormat="1" ht="10.5" customHeight="1" x14ac:dyDescent="0.3">
      <c r="A76" s="14">
        <v>2004</v>
      </c>
      <c r="B76" s="15">
        <v>4744</v>
      </c>
      <c r="C76" s="15">
        <v>1293</v>
      </c>
      <c r="D76" s="15">
        <v>393</v>
      </c>
      <c r="E76" s="15">
        <v>248</v>
      </c>
      <c r="F76" s="15">
        <v>216</v>
      </c>
      <c r="G76" s="15">
        <v>187</v>
      </c>
      <c r="H76" s="15">
        <v>144</v>
      </c>
      <c r="I76" s="15">
        <v>106</v>
      </c>
      <c r="J76" s="15">
        <v>744</v>
      </c>
      <c r="K76" s="15">
        <v>152</v>
      </c>
      <c r="L76" s="15">
        <v>140</v>
      </c>
      <c r="M76" s="15">
        <v>149</v>
      </c>
      <c r="N76" s="15">
        <v>218</v>
      </c>
      <c r="O76" s="15">
        <v>194</v>
      </c>
      <c r="P76" s="15">
        <v>220</v>
      </c>
      <c r="Q76" s="15">
        <v>277</v>
      </c>
      <c r="R76" s="15">
        <v>63</v>
      </c>
      <c r="S76" s="16">
        <v>2004</v>
      </c>
      <c r="T76" s="5"/>
      <c r="U76" s="5"/>
    </row>
    <row r="77" spans="1:21" s="42" customFormat="1" ht="10.5" customHeight="1" x14ac:dyDescent="0.3">
      <c r="A77" s="14">
        <v>2005</v>
      </c>
      <c r="B77" s="15">
        <v>4390</v>
      </c>
      <c r="C77" s="15">
        <v>1221</v>
      </c>
      <c r="D77" s="15">
        <v>363</v>
      </c>
      <c r="E77" s="15">
        <v>241</v>
      </c>
      <c r="F77" s="15">
        <v>198</v>
      </c>
      <c r="G77" s="15">
        <v>174</v>
      </c>
      <c r="H77" s="15">
        <v>142</v>
      </c>
      <c r="I77" s="15">
        <v>102</v>
      </c>
      <c r="J77" s="15">
        <v>688</v>
      </c>
      <c r="K77" s="15">
        <v>133</v>
      </c>
      <c r="L77" s="15">
        <v>127</v>
      </c>
      <c r="M77" s="15">
        <v>130</v>
      </c>
      <c r="N77" s="15">
        <v>186</v>
      </c>
      <c r="O77" s="15">
        <v>169</v>
      </c>
      <c r="P77" s="15">
        <v>201</v>
      </c>
      <c r="Q77" s="15">
        <v>257</v>
      </c>
      <c r="R77" s="15">
        <v>57</v>
      </c>
      <c r="S77" s="16">
        <v>2005</v>
      </c>
      <c r="T77" s="5"/>
      <c r="U77" s="5"/>
    </row>
    <row r="78" spans="1:21" s="59" customFormat="1" ht="10.5" customHeight="1" x14ac:dyDescent="0.3">
      <c r="A78" s="49">
        <v>2006</v>
      </c>
      <c r="B78" s="50">
        <v>4390</v>
      </c>
      <c r="C78" s="50">
        <v>1221</v>
      </c>
      <c r="D78" s="50">
        <v>363</v>
      </c>
      <c r="E78" s="50">
        <v>241</v>
      </c>
      <c r="F78" s="50">
        <v>198</v>
      </c>
      <c r="G78" s="50">
        <v>174</v>
      </c>
      <c r="H78" s="50">
        <v>142</v>
      </c>
      <c r="I78" s="50">
        <v>102</v>
      </c>
      <c r="J78" s="50">
        <v>688</v>
      </c>
      <c r="K78" s="50">
        <v>133</v>
      </c>
      <c r="L78" s="50">
        <v>127</v>
      </c>
      <c r="M78" s="50">
        <v>130</v>
      </c>
      <c r="N78" s="50">
        <v>186</v>
      </c>
      <c r="O78" s="50">
        <v>169</v>
      </c>
      <c r="P78" s="50">
        <v>201</v>
      </c>
      <c r="Q78" s="50">
        <v>257</v>
      </c>
      <c r="R78" s="50">
        <v>57</v>
      </c>
      <c r="S78" s="48">
        <v>2006</v>
      </c>
      <c r="T78" s="51"/>
      <c r="U78" s="51"/>
    </row>
    <row r="79" spans="1:21" ht="6" customHeight="1" x14ac:dyDescent="0.3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4"/>
    </row>
    <row r="80" spans="1:21" ht="15" customHeight="1" x14ac:dyDescent="0.3">
      <c r="A80" s="25" t="s">
        <v>136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6"/>
    </row>
    <row r="81" spans="1:19" ht="15" customHeight="1" x14ac:dyDescent="0.3">
      <c r="A81" s="25" t="s">
        <v>137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6"/>
    </row>
    <row r="82" spans="1:19" x14ac:dyDescent="0.3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6"/>
    </row>
    <row r="83" spans="1:19" x14ac:dyDescent="0.3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6"/>
    </row>
    <row r="84" spans="1:19" x14ac:dyDescent="0.3">
      <c r="A84" s="6" t="s">
        <v>138</v>
      </c>
      <c r="B84" s="27">
        <f>B16+B31+B46+B61+B76</f>
        <v>12003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6"/>
    </row>
    <row r="85" spans="1:19" x14ac:dyDescent="0.3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6"/>
    </row>
    <row r="86" spans="1:19" x14ac:dyDescent="0.3">
      <c r="A86" s="41" t="s">
        <v>139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6"/>
    </row>
    <row r="87" spans="1:19" s="39" customFormat="1" hidden="1" x14ac:dyDescent="0.3">
      <c r="A87" s="38">
        <v>2002</v>
      </c>
      <c r="B87" s="37">
        <v>1593</v>
      </c>
      <c r="C87" s="37">
        <v>23</v>
      </c>
      <c r="D87" s="37">
        <v>22</v>
      </c>
      <c r="E87" s="37">
        <v>23</v>
      </c>
      <c r="F87" s="37">
        <v>27</v>
      </c>
      <c r="G87" s="37">
        <v>18</v>
      </c>
      <c r="H87" s="37">
        <v>15</v>
      </c>
      <c r="I87" s="37">
        <v>19</v>
      </c>
      <c r="J87" s="37">
        <v>180</v>
      </c>
      <c r="K87" s="37">
        <v>120</v>
      </c>
      <c r="L87" s="37">
        <v>98</v>
      </c>
      <c r="M87" s="37">
        <v>188</v>
      </c>
      <c r="N87" s="37">
        <v>145</v>
      </c>
      <c r="O87" s="37">
        <v>242</v>
      </c>
      <c r="P87" s="37">
        <v>234</v>
      </c>
      <c r="Q87" s="37">
        <v>205</v>
      </c>
      <c r="R87" s="37">
        <v>34</v>
      </c>
      <c r="S87" s="40">
        <f>SUM(C87:R87)</f>
        <v>1593</v>
      </c>
    </row>
    <row r="88" spans="1:19" hidden="1" x14ac:dyDescent="0.3">
      <c r="A88" s="6" t="s">
        <v>140</v>
      </c>
      <c r="B88" s="27">
        <v>1366</v>
      </c>
      <c r="C88" s="7">
        <v>19</v>
      </c>
      <c r="D88" s="7">
        <v>14</v>
      </c>
      <c r="E88" s="7">
        <v>22</v>
      </c>
      <c r="F88" s="7">
        <v>22</v>
      </c>
      <c r="G88" s="7">
        <v>16</v>
      </c>
      <c r="H88" s="7">
        <v>14</v>
      </c>
      <c r="I88" s="7">
        <v>17</v>
      </c>
      <c r="J88" s="7">
        <v>165</v>
      </c>
      <c r="K88" s="7">
        <v>98</v>
      </c>
      <c r="L88" s="7">
        <v>88</v>
      </c>
      <c r="M88" s="7">
        <v>168</v>
      </c>
      <c r="N88" s="7">
        <v>128</v>
      </c>
      <c r="O88" s="7">
        <v>199</v>
      </c>
      <c r="P88" s="7">
        <v>203</v>
      </c>
      <c r="Q88" s="7">
        <v>168</v>
      </c>
      <c r="R88" s="7">
        <v>25</v>
      </c>
      <c r="S88" s="6"/>
    </row>
    <row r="89" spans="1:19" hidden="1" x14ac:dyDescent="0.3">
      <c r="A89" s="6" t="s">
        <v>141</v>
      </c>
      <c r="B89" s="27">
        <v>95</v>
      </c>
      <c r="C89" s="7">
        <v>3</v>
      </c>
      <c r="D89" s="7">
        <v>7</v>
      </c>
      <c r="E89" s="7">
        <v>0</v>
      </c>
      <c r="F89" s="7">
        <v>4</v>
      </c>
      <c r="G89" s="7">
        <v>1</v>
      </c>
      <c r="H89" s="7">
        <v>0</v>
      </c>
      <c r="I89" s="7">
        <v>1</v>
      </c>
      <c r="J89" s="7">
        <v>1</v>
      </c>
      <c r="K89" s="7">
        <v>9</v>
      </c>
      <c r="L89" s="7">
        <v>0</v>
      </c>
      <c r="M89" s="7">
        <v>8</v>
      </c>
      <c r="N89" s="7">
        <v>4</v>
      </c>
      <c r="O89" s="7">
        <v>22</v>
      </c>
      <c r="P89" s="7">
        <v>9</v>
      </c>
      <c r="Q89" s="7">
        <v>19</v>
      </c>
      <c r="R89" s="7">
        <v>7</v>
      </c>
      <c r="S89" s="6"/>
    </row>
    <row r="90" spans="1:19" hidden="1" x14ac:dyDescent="0.3">
      <c r="A90" s="6" t="s">
        <v>142</v>
      </c>
      <c r="B90" s="27">
        <v>132</v>
      </c>
      <c r="C90" s="7">
        <v>1</v>
      </c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14</v>
      </c>
      <c r="K90" s="7">
        <v>13</v>
      </c>
      <c r="L90" s="7">
        <v>10</v>
      </c>
      <c r="M90" s="7">
        <v>12</v>
      </c>
      <c r="N90" s="7">
        <v>13</v>
      </c>
      <c r="O90" s="7">
        <v>21</v>
      </c>
      <c r="P90" s="7">
        <v>22</v>
      </c>
      <c r="Q90" s="7">
        <v>18</v>
      </c>
      <c r="R90" s="7">
        <v>2</v>
      </c>
      <c r="S90" s="6"/>
    </row>
    <row r="91" spans="1:19" hidden="1" x14ac:dyDescent="0.3">
      <c r="A91" s="36">
        <v>2004</v>
      </c>
      <c r="B91" s="37">
        <f t="shared" ref="B91:R91" si="0">SUM(B92:B94)</f>
        <v>1551</v>
      </c>
      <c r="C91" s="37">
        <f t="shared" si="0"/>
        <v>23</v>
      </c>
      <c r="D91" s="37">
        <f t="shared" si="0"/>
        <v>24</v>
      </c>
      <c r="E91" s="37">
        <f t="shared" si="0"/>
        <v>26</v>
      </c>
      <c r="F91" s="37">
        <f t="shared" si="0"/>
        <v>27</v>
      </c>
      <c r="G91" s="37">
        <f t="shared" si="0"/>
        <v>18</v>
      </c>
      <c r="H91" s="37">
        <f t="shared" si="0"/>
        <v>16</v>
      </c>
      <c r="I91" s="37">
        <f t="shared" si="0"/>
        <v>19</v>
      </c>
      <c r="J91" s="37">
        <f t="shared" si="0"/>
        <v>179</v>
      </c>
      <c r="K91" s="37">
        <f t="shared" si="0"/>
        <v>112</v>
      </c>
      <c r="L91" s="37">
        <f t="shared" si="0"/>
        <v>94</v>
      </c>
      <c r="M91" s="37">
        <f t="shared" si="0"/>
        <v>186</v>
      </c>
      <c r="N91" s="37">
        <f t="shared" si="0"/>
        <v>135</v>
      </c>
      <c r="O91" s="37">
        <f t="shared" si="0"/>
        <v>236</v>
      </c>
      <c r="P91" s="37">
        <f t="shared" si="0"/>
        <v>224</v>
      </c>
      <c r="Q91" s="37">
        <f t="shared" si="0"/>
        <v>199</v>
      </c>
      <c r="R91" s="37">
        <f t="shared" si="0"/>
        <v>33</v>
      </c>
      <c r="S91" s="36">
        <f>SUM(C91:R91)</f>
        <v>1551</v>
      </c>
    </row>
    <row r="92" spans="1:19" hidden="1" x14ac:dyDescent="0.3">
      <c r="A92" s="6" t="s">
        <v>140</v>
      </c>
      <c r="B92" s="27">
        <f>SUM(C92:R92)</f>
        <v>1327</v>
      </c>
      <c r="C92" s="7">
        <v>19</v>
      </c>
      <c r="D92" s="7">
        <v>16</v>
      </c>
      <c r="E92" s="7">
        <v>24</v>
      </c>
      <c r="F92" s="7">
        <v>21</v>
      </c>
      <c r="G92" s="7">
        <v>16</v>
      </c>
      <c r="H92" s="7">
        <v>15</v>
      </c>
      <c r="I92" s="7">
        <v>17</v>
      </c>
      <c r="J92" s="7">
        <v>165</v>
      </c>
      <c r="K92" s="7">
        <v>90</v>
      </c>
      <c r="L92" s="7">
        <v>84</v>
      </c>
      <c r="M92" s="7">
        <v>166</v>
      </c>
      <c r="N92" s="7">
        <v>118</v>
      </c>
      <c r="O92" s="7">
        <v>195</v>
      </c>
      <c r="P92" s="7">
        <v>194</v>
      </c>
      <c r="Q92" s="7">
        <v>163</v>
      </c>
      <c r="R92" s="7">
        <v>24</v>
      </c>
      <c r="S92" s="6"/>
    </row>
    <row r="93" spans="1:19" hidden="1" x14ac:dyDescent="0.3">
      <c r="A93" s="6" t="s">
        <v>141</v>
      </c>
      <c r="B93" s="27">
        <f>SUM(C93:R93)</f>
        <v>92</v>
      </c>
      <c r="C93" s="7">
        <v>3</v>
      </c>
      <c r="D93" s="7">
        <v>7</v>
      </c>
      <c r="E93" s="7">
        <v>0</v>
      </c>
      <c r="F93" s="7">
        <v>4</v>
      </c>
      <c r="G93" s="7">
        <v>1</v>
      </c>
      <c r="H93" s="7">
        <v>0</v>
      </c>
      <c r="I93" s="7">
        <v>1</v>
      </c>
      <c r="J93" s="7">
        <v>1</v>
      </c>
      <c r="K93" s="7">
        <v>9</v>
      </c>
      <c r="L93" s="7">
        <v>0</v>
      </c>
      <c r="M93" s="7">
        <v>8</v>
      </c>
      <c r="N93" s="7">
        <v>4</v>
      </c>
      <c r="O93" s="7">
        <v>20</v>
      </c>
      <c r="P93" s="7">
        <v>9</v>
      </c>
      <c r="Q93" s="7">
        <v>18</v>
      </c>
      <c r="R93" s="7">
        <v>7</v>
      </c>
      <c r="S93" s="6"/>
    </row>
    <row r="94" spans="1:19" hidden="1" x14ac:dyDescent="0.3">
      <c r="A94" s="6" t="s">
        <v>142</v>
      </c>
      <c r="B94" s="27">
        <f>SUM(C94:R94)</f>
        <v>132</v>
      </c>
      <c r="C94" s="7">
        <v>1</v>
      </c>
      <c r="D94" s="7">
        <v>1</v>
      </c>
      <c r="E94" s="7">
        <v>2</v>
      </c>
      <c r="F94" s="7">
        <v>2</v>
      </c>
      <c r="G94" s="7">
        <v>1</v>
      </c>
      <c r="H94" s="7">
        <v>1</v>
      </c>
      <c r="I94" s="7">
        <v>1</v>
      </c>
      <c r="J94" s="7">
        <v>13</v>
      </c>
      <c r="K94" s="7">
        <v>13</v>
      </c>
      <c r="L94" s="7">
        <v>10</v>
      </c>
      <c r="M94" s="7">
        <v>12</v>
      </c>
      <c r="N94" s="7">
        <v>13</v>
      </c>
      <c r="O94" s="7">
        <v>21</v>
      </c>
      <c r="P94" s="7">
        <v>21</v>
      </c>
      <c r="Q94" s="7">
        <v>18</v>
      </c>
      <c r="R94" s="7">
        <v>2</v>
      </c>
      <c r="S94" s="6"/>
    </row>
    <row r="95" spans="1:19" x14ac:dyDescent="0.3">
      <c r="A95" s="36">
        <v>2005</v>
      </c>
      <c r="B95" s="37">
        <f t="shared" ref="B95:R95" si="1">SUM(B96:B98)</f>
        <v>1522</v>
      </c>
      <c r="C95" s="37">
        <f t="shared" si="1"/>
        <v>23</v>
      </c>
      <c r="D95" s="37">
        <f t="shared" si="1"/>
        <v>24</v>
      </c>
      <c r="E95" s="37">
        <f t="shared" si="1"/>
        <v>26</v>
      </c>
      <c r="F95" s="37">
        <f t="shared" si="1"/>
        <v>27</v>
      </c>
      <c r="G95" s="37">
        <f t="shared" si="1"/>
        <v>18</v>
      </c>
      <c r="H95" s="37">
        <f t="shared" si="1"/>
        <v>16</v>
      </c>
      <c r="I95" s="37">
        <f t="shared" si="1"/>
        <v>19</v>
      </c>
      <c r="J95" s="37">
        <f t="shared" si="1"/>
        <v>179</v>
      </c>
      <c r="K95" s="37">
        <f t="shared" si="1"/>
        <v>110</v>
      </c>
      <c r="L95" s="37">
        <f t="shared" si="1"/>
        <v>91</v>
      </c>
      <c r="M95" s="37">
        <f t="shared" si="1"/>
        <v>184</v>
      </c>
      <c r="N95" s="37">
        <f t="shared" si="1"/>
        <v>132</v>
      </c>
      <c r="O95" s="37">
        <f t="shared" si="1"/>
        <v>223</v>
      </c>
      <c r="P95" s="37">
        <f t="shared" si="1"/>
        <v>222</v>
      </c>
      <c r="Q95" s="37">
        <f t="shared" si="1"/>
        <v>195</v>
      </c>
      <c r="R95" s="37">
        <f t="shared" si="1"/>
        <v>33</v>
      </c>
      <c r="S95" s="40">
        <f>SUM(C95:R95)</f>
        <v>1522</v>
      </c>
    </row>
    <row r="96" spans="1:19" x14ac:dyDescent="0.3">
      <c r="A96" s="6" t="s">
        <v>140</v>
      </c>
      <c r="B96" s="27">
        <f>SUM(C96:R96)</f>
        <v>1298</v>
      </c>
      <c r="C96" s="7">
        <v>19</v>
      </c>
      <c r="D96" s="7">
        <v>16</v>
      </c>
      <c r="E96" s="7">
        <v>24</v>
      </c>
      <c r="F96" s="7">
        <v>21</v>
      </c>
      <c r="G96" s="7">
        <v>16</v>
      </c>
      <c r="H96" s="7">
        <v>15</v>
      </c>
      <c r="I96" s="7">
        <v>17</v>
      </c>
      <c r="J96" s="7">
        <v>165</v>
      </c>
      <c r="K96" s="7">
        <v>88</v>
      </c>
      <c r="L96" s="7">
        <v>81</v>
      </c>
      <c r="M96" s="7">
        <v>164</v>
      </c>
      <c r="N96" s="7">
        <v>115</v>
      </c>
      <c r="O96" s="7">
        <v>182</v>
      </c>
      <c r="P96" s="7">
        <v>192</v>
      </c>
      <c r="Q96" s="7">
        <v>159</v>
      </c>
      <c r="R96" s="7">
        <v>24</v>
      </c>
      <c r="S96" s="6"/>
    </row>
    <row r="97" spans="1:19" x14ac:dyDescent="0.3">
      <c r="A97" s="6" t="s">
        <v>141</v>
      </c>
      <c r="B97" s="27">
        <f>SUM(C97:R97)</f>
        <v>92</v>
      </c>
      <c r="C97" s="7">
        <v>3</v>
      </c>
      <c r="D97" s="7">
        <v>7</v>
      </c>
      <c r="E97" s="7">
        <v>0</v>
      </c>
      <c r="F97" s="7">
        <v>4</v>
      </c>
      <c r="G97" s="7">
        <v>1</v>
      </c>
      <c r="H97" s="7">
        <v>0</v>
      </c>
      <c r="I97" s="7">
        <v>1</v>
      </c>
      <c r="J97" s="7">
        <v>1</v>
      </c>
      <c r="K97" s="7">
        <v>9</v>
      </c>
      <c r="L97" s="7">
        <v>0</v>
      </c>
      <c r="M97" s="7">
        <v>8</v>
      </c>
      <c r="N97" s="7">
        <v>4</v>
      </c>
      <c r="O97" s="7">
        <v>20</v>
      </c>
      <c r="P97" s="7">
        <v>9</v>
      </c>
      <c r="Q97" s="7">
        <v>18</v>
      </c>
      <c r="R97" s="7">
        <v>7</v>
      </c>
      <c r="S97" s="6"/>
    </row>
    <row r="98" spans="1:19" x14ac:dyDescent="0.3">
      <c r="A98" s="6" t="s">
        <v>142</v>
      </c>
      <c r="B98" s="27">
        <f>SUM(C98:R98)</f>
        <v>132</v>
      </c>
      <c r="C98" s="7">
        <v>1</v>
      </c>
      <c r="D98" s="7">
        <v>1</v>
      </c>
      <c r="E98" s="7">
        <v>2</v>
      </c>
      <c r="F98" s="7">
        <v>2</v>
      </c>
      <c r="G98" s="7">
        <v>1</v>
      </c>
      <c r="H98" s="7">
        <v>1</v>
      </c>
      <c r="I98" s="7">
        <v>1</v>
      </c>
      <c r="J98" s="7">
        <v>13</v>
      </c>
      <c r="K98" s="7">
        <v>13</v>
      </c>
      <c r="L98" s="7">
        <v>10</v>
      </c>
      <c r="M98" s="7">
        <v>12</v>
      </c>
      <c r="N98" s="7">
        <v>13</v>
      </c>
      <c r="O98" s="7">
        <v>21</v>
      </c>
      <c r="P98" s="7">
        <v>21</v>
      </c>
      <c r="Q98" s="7">
        <v>18</v>
      </c>
      <c r="R98" s="7">
        <v>2</v>
      </c>
      <c r="S98" s="6"/>
    </row>
  </sheetData>
  <mergeCells count="11">
    <mergeCell ref="A1:S1"/>
    <mergeCell ref="A4:I4"/>
    <mergeCell ref="J4:S4"/>
    <mergeCell ref="A19:I19"/>
    <mergeCell ref="J19:S19"/>
    <mergeCell ref="A34:I34"/>
    <mergeCell ref="A64:I64"/>
    <mergeCell ref="J64:S64"/>
    <mergeCell ref="A49:I49"/>
    <mergeCell ref="J49:S49"/>
    <mergeCell ref="J34:S34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5"/>
  </sheetPr>
  <dimension ref="A1:AI114"/>
  <sheetViews>
    <sheetView zoomScaleNormal="100" workbookViewId="0">
      <pane xSplit="1" ySplit="4" topLeftCell="B83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8.86328125" defaultRowHeight="11.6" x14ac:dyDescent="0.3"/>
  <cols>
    <col min="1" max="1" width="7.33203125" style="1" customWidth="1"/>
    <col min="2" max="2" width="8.19921875" style="2" customWidth="1"/>
    <col min="3" max="3" width="8.796875" style="2" customWidth="1"/>
    <col min="4" max="4" width="8" style="2" customWidth="1"/>
    <col min="5" max="9" width="7.796875" style="2" customWidth="1"/>
    <col min="10" max="18" width="7.33203125" style="2" customWidth="1"/>
    <col min="19" max="19" width="7.33203125" style="1" customWidth="1"/>
    <col min="20" max="21" width="0" style="2" hidden="1" customWidth="1"/>
    <col min="22" max="22" width="5.796875" style="2" customWidth="1"/>
    <col min="23" max="16384" width="8.86328125" style="2"/>
  </cols>
  <sheetData>
    <row r="1" spans="1:35" ht="18.45" x14ac:dyDescent="0.3">
      <c r="A1" s="135" t="s">
        <v>41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x14ac:dyDescent="0.3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6"/>
    </row>
    <row r="3" spans="1:35" ht="15" customHeight="1" x14ac:dyDescent="0.3">
      <c r="A3" s="8" t="s">
        <v>42</v>
      </c>
      <c r="B3" s="9" t="s">
        <v>43</v>
      </c>
      <c r="C3" s="9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9" t="s">
        <v>51</v>
      </c>
      <c r="K3" s="9" t="s">
        <v>52</v>
      </c>
      <c r="L3" s="9" t="s">
        <v>53</v>
      </c>
      <c r="M3" s="9" t="s">
        <v>54</v>
      </c>
      <c r="N3" s="9" t="s">
        <v>55</v>
      </c>
      <c r="O3" s="9" t="s">
        <v>56</v>
      </c>
      <c r="P3" s="9" t="s">
        <v>57</v>
      </c>
      <c r="Q3" s="9" t="s">
        <v>58</v>
      </c>
      <c r="R3" s="9" t="s">
        <v>59</v>
      </c>
      <c r="S3" s="10" t="s">
        <v>60</v>
      </c>
    </row>
    <row r="4" spans="1:35" ht="16.5" customHeight="1" x14ac:dyDescent="0.3">
      <c r="A4" s="133" t="s">
        <v>70</v>
      </c>
      <c r="B4" s="133"/>
      <c r="C4" s="133"/>
      <c r="D4" s="133"/>
      <c r="E4" s="133"/>
      <c r="F4" s="133"/>
      <c r="G4" s="133"/>
      <c r="H4" s="133"/>
      <c r="I4" s="133"/>
      <c r="J4" s="136" t="s">
        <v>71</v>
      </c>
      <c r="K4" s="136"/>
      <c r="L4" s="136"/>
      <c r="M4" s="136"/>
      <c r="N4" s="136"/>
      <c r="O4" s="136"/>
      <c r="P4" s="136"/>
      <c r="Q4" s="136"/>
      <c r="R4" s="136"/>
      <c r="S4" s="136"/>
    </row>
    <row r="5" spans="1:35" ht="10.5" hidden="1" customHeight="1" x14ac:dyDescent="0.3">
      <c r="A5" s="11">
        <v>1994</v>
      </c>
      <c r="B5" s="12">
        <v>3684</v>
      </c>
      <c r="C5" s="12">
        <f>1491+1</f>
        <v>1492</v>
      </c>
      <c r="D5" s="12">
        <f>337+1</f>
        <v>338</v>
      </c>
      <c r="E5" s="12">
        <v>234</v>
      </c>
      <c r="F5" s="12">
        <v>139</v>
      </c>
      <c r="G5" s="12">
        <v>108</v>
      </c>
      <c r="H5" s="12">
        <v>108</v>
      </c>
      <c r="I5" s="12" t="s">
        <v>19</v>
      </c>
      <c r="J5" s="12">
        <v>443</v>
      </c>
      <c r="K5" s="12">
        <v>62</v>
      </c>
      <c r="L5" s="12">
        <v>72</v>
      </c>
      <c r="M5" s="12">
        <v>65</v>
      </c>
      <c r="N5" s="12">
        <v>111</v>
      </c>
      <c r="O5" s="12">
        <v>78</v>
      </c>
      <c r="P5" s="12">
        <v>120</v>
      </c>
      <c r="Q5" s="12">
        <v>263</v>
      </c>
      <c r="R5" s="12">
        <v>51</v>
      </c>
      <c r="S5" s="13">
        <v>1994</v>
      </c>
      <c r="V5" s="43">
        <v>3684</v>
      </c>
      <c r="W5" s="33">
        <f>SUM(C5:R5)</f>
        <v>3684</v>
      </c>
      <c r="X5" s="46">
        <f>V5-W5</f>
        <v>0</v>
      </c>
    </row>
    <row r="6" spans="1:35" ht="10.5" hidden="1" customHeight="1" x14ac:dyDescent="0.3">
      <c r="A6" s="11">
        <v>1995</v>
      </c>
      <c r="B6" s="12">
        <v>4559</v>
      </c>
      <c r="C6" s="12">
        <f>1793+1</f>
        <v>1794</v>
      </c>
      <c r="D6" s="12">
        <v>406</v>
      </c>
      <c r="E6" s="12">
        <v>285</v>
      </c>
      <c r="F6" s="12">
        <v>178</v>
      </c>
      <c r="G6" s="12">
        <v>132</v>
      </c>
      <c r="H6" s="12">
        <v>130</v>
      </c>
      <c r="I6" s="12" t="s">
        <v>19</v>
      </c>
      <c r="J6" s="12">
        <v>599</v>
      </c>
      <c r="K6" s="12">
        <v>88</v>
      </c>
      <c r="L6" s="12">
        <v>90</v>
      </c>
      <c r="M6" s="12">
        <v>88</v>
      </c>
      <c r="N6" s="12">
        <v>134</v>
      </c>
      <c r="O6" s="12">
        <v>110</v>
      </c>
      <c r="P6" s="12">
        <v>153</v>
      </c>
      <c r="Q6" s="12">
        <v>315</v>
      </c>
      <c r="R6" s="12">
        <v>57</v>
      </c>
      <c r="S6" s="13">
        <v>1995</v>
      </c>
      <c r="V6" s="43">
        <v>4559</v>
      </c>
      <c r="W6" s="33">
        <f t="shared" ref="W6:W15" si="0">SUM(C6:R6)</f>
        <v>4559</v>
      </c>
      <c r="X6" s="46">
        <f t="shared" ref="X6:X15" si="1">V6-W6</f>
        <v>0</v>
      </c>
    </row>
    <row r="7" spans="1:35" ht="10.5" hidden="1" customHeight="1" x14ac:dyDescent="0.3">
      <c r="A7" s="11">
        <v>1996</v>
      </c>
      <c r="B7" s="12">
        <v>5107</v>
      </c>
      <c r="C7" s="12">
        <f>1955+1</f>
        <v>1956</v>
      </c>
      <c r="D7" s="12">
        <v>458</v>
      </c>
      <c r="E7" s="12">
        <v>315</v>
      </c>
      <c r="F7" s="12">
        <v>201</v>
      </c>
      <c r="G7" s="12">
        <v>149</v>
      </c>
      <c r="H7" s="12">
        <v>151</v>
      </c>
      <c r="I7" s="12" t="s">
        <v>19</v>
      </c>
      <c r="J7" s="12">
        <v>731</v>
      </c>
      <c r="K7" s="12">
        <v>101</v>
      </c>
      <c r="L7" s="12">
        <v>107</v>
      </c>
      <c r="M7" s="12">
        <v>95</v>
      </c>
      <c r="N7" s="12">
        <v>150</v>
      </c>
      <c r="O7" s="12">
        <v>121</v>
      </c>
      <c r="P7" s="12">
        <v>161</v>
      </c>
      <c r="Q7" s="12">
        <v>351</v>
      </c>
      <c r="R7" s="12">
        <v>60</v>
      </c>
      <c r="S7" s="13">
        <v>1996</v>
      </c>
      <c r="V7" s="43">
        <v>5107</v>
      </c>
      <c r="W7" s="33">
        <f t="shared" si="0"/>
        <v>5107</v>
      </c>
      <c r="X7" s="46">
        <f t="shared" si="1"/>
        <v>0</v>
      </c>
    </row>
    <row r="8" spans="1:35" ht="10.5" hidden="1" customHeight="1" x14ac:dyDescent="0.3">
      <c r="A8" s="11">
        <v>1997</v>
      </c>
      <c r="B8" s="12">
        <v>5990</v>
      </c>
      <c r="C8" s="12">
        <f>2244+1</f>
        <v>2245</v>
      </c>
      <c r="D8" s="12">
        <v>528</v>
      </c>
      <c r="E8" s="12">
        <v>352</v>
      </c>
      <c r="F8" s="12">
        <v>256</v>
      </c>
      <c r="G8" s="12">
        <v>175</v>
      </c>
      <c r="H8" s="12">
        <v>183</v>
      </c>
      <c r="I8" s="12">
        <v>119</v>
      </c>
      <c r="J8" s="12">
        <v>913</v>
      </c>
      <c r="K8" s="12">
        <v>117</v>
      </c>
      <c r="L8" s="12">
        <v>133</v>
      </c>
      <c r="M8" s="12">
        <v>119</v>
      </c>
      <c r="N8" s="12">
        <v>176</v>
      </c>
      <c r="O8" s="12">
        <v>133</v>
      </c>
      <c r="P8" s="12">
        <v>192</v>
      </c>
      <c r="Q8" s="12">
        <v>280</v>
      </c>
      <c r="R8" s="12">
        <v>69</v>
      </c>
      <c r="S8" s="13">
        <v>1997</v>
      </c>
      <c r="T8" s="5">
        <f t="shared" ref="T8:T16" si="2">SUM(C8:R8)</f>
        <v>5990</v>
      </c>
      <c r="V8" s="43">
        <v>5990</v>
      </c>
      <c r="W8" s="33">
        <f t="shared" si="0"/>
        <v>5990</v>
      </c>
      <c r="X8" s="46">
        <f t="shared" si="1"/>
        <v>0</v>
      </c>
    </row>
    <row r="9" spans="1:35" s="4" customFormat="1" ht="10.5" hidden="1" customHeight="1" x14ac:dyDescent="0.3">
      <c r="A9" s="14">
        <v>1998</v>
      </c>
      <c r="B9" s="15">
        <f>5103+3</f>
        <v>5106</v>
      </c>
      <c r="C9" s="15">
        <f>2005+2</f>
        <v>2007</v>
      </c>
      <c r="D9" s="15">
        <v>464</v>
      </c>
      <c r="E9" s="15">
        <v>291</v>
      </c>
      <c r="F9" s="15">
        <v>203</v>
      </c>
      <c r="G9" s="15">
        <v>158</v>
      </c>
      <c r="H9" s="15">
        <v>136</v>
      </c>
      <c r="I9" s="15">
        <v>95</v>
      </c>
      <c r="J9" s="15">
        <v>732</v>
      </c>
      <c r="K9" s="15">
        <v>107</v>
      </c>
      <c r="L9" s="15">
        <v>116</v>
      </c>
      <c r="M9" s="15">
        <v>86</v>
      </c>
      <c r="N9" s="15">
        <v>145</v>
      </c>
      <c r="O9" s="15">
        <v>119</v>
      </c>
      <c r="P9" s="15">
        <v>149</v>
      </c>
      <c r="Q9" s="15">
        <v>235</v>
      </c>
      <c r="R9" s="15">
        <v>63</v>
      </c>
      <c r="S9" s="16">
        <v>1998</v>
      </c>
      <c r="T9" s="5">
        <f t="shared" si="2"/>
        <v>5106</v>
      </c>
      <c r="U9" s="5">
        <f t="shared" ref="U9:U42" si="3">T9-B9</f>
        <v>0</v>
      </c>
      <c r="V9" s="44">
        <v>5106</v>
      </c>
      <c r="W9" s="5">
        <f t="shared" si="0"/>
        <v>5106</v>
      </c>
      <c r="X9" s="47">
        <f t="shared" si="1"/>
        <v>0</v>
      </c>
    </row>
    <row r="10" spans="1:35" s="4" customFormat="1" ht="10.5" customHeight="1" x14ac:dyDescent="0.3">
      <c r="A10" s="14">
        <v>1999</v>
      </c>
      <c r="B10" s="15">
        <f>4853+4</f>
        <v>4857</v>
      </c>
      <c r="C10" s="15">
        <f>1957+3</f>
        <v>1960</v>
      </c>
      <c r="D10" s="15">
        <v>432</v>
      </c>
      <c r="E10" s="15">
        <v>280</v>
      </c>
      <c r="F10" s="15">
        <v>187</v>
      </c>
      <c r="G10" s="15">
        <v>152</v>
      </c>
      <c r="H10" s="15">
        <v>136</v>
      </c>
      <c r="I10" s="15">
        <v>89</v>
      </c>
      <c r="J10" s="15">
        <v>687</v>
      </c>
      <c r="K10" s="15">
        <v>85</v>
      </c>
      <c r="L10" s="15">
        <v>94</v>
      </c>
      <c r="M10" s="15">
        <v>87</v>
      </c>
      <c r="N10" s="15">
        <v>135</v>
      </c>
      <c r="O10" s="15">
        <v>112</v>
      </c>
      <c r="P10" s="15">
        <v>143</v>
      </c>
      <c r="Q10" s="15">
        <v>223</v>
      </c>
      <c r="R10" s="15">
        <v>55</v>
      </c>
      <c r="S10" s="16">
        <v>1999</v>
      </c>
      <c r="T10" s="5">
        <f t="shared" si="2"/>
        <v>4857</v>
      </c>
      <c r="U10" s="5">
        <f t="shared" si="3"/>
        <v>0</v>
      </c>
      <c r="V10" s="44">
        <v>4857</v>
      </c>
      <c r="W10" s="5">
        <f t="shared" si="0"/>
        <v>4857</v>
      </c>
      <c r="X10" s="47">
        <f t="shared" si="1"/>
        <v>0</v>
      </c>
    </row>
    <row r="11" spans="1:35" s="4" customFormat="1" ht="10.5" customHeight="1" x14ac:dyDescent="0.3">
      <c r="A11" s="14">
        <v>2000</v>
      </c>
      <c r="B11" s="15">
        <f>4787+7</f>
        <v>4794</v>
      </c>
      <c r="C11" s="15">
        <f>1928+5</f>
        <v>1933</v>
      </c>
      <c r="D11" s="15">
        <v>425</v>
      </c>
      <c r="E11" s="15">
        <v>276</v>
      </c>
      <c r="F11" s="15">
        <v>184</v>
      </c>
      <c r="G11" s="15">
        <v>142</v>
      </c>
      <c r="H11" s="15">
        <v>139</v>
      </c>
      <c r="I11" s="15">
        <v>89</v>
      </c>
      <c r="J11" s="15">
        <f>690+1</f>
        <v>691</v>
      </c>
      <c r="K11" s="15">
        <v>83</v>
      </c>
      <c r="L11" s="15">
        <v>88</v>
      </c>
      <c r="M11" s="15">
        <v>87</v>
      </c>
      <c r="N11" s="15">
        <v>137</v>
      </c>
      <c r="O11" s="15">
        <v>105</v>
      </c>
      <c r="P11" s="15">
        <v>142</v>
      </c>
      <c r="Q11" s="15">
        <v>220</v>
      </c>
      <c r="R11" s="15">
        <v>53</v>
      </c>
      <c r="S11" s="16">
        <v>2000</v>
      </c>
      <c r="T11" s="5">
        <f t="shared" si="2"/>
        <v>4794</v>
      </c>
      <c r="U11" s="5">
        <f t="shared" si="3"/>
        <v>0</v>
      </c>
      <c r="V11" s="44">
        <v>4794</v>
      </c>
      <c r="W11" s="5">
        <f t="shared" si="0"/>
        <v>4794</v>
      </c>
      <c r="X11" s="47">
        <f t="shared" si="1"/>
        <v>0</v>
      </c>
    </row>
    <row r="12" spans="1:35" s="4" customFormat="1" ht="10.5" customHeight="1" x14ac:dyDescent="0.3">
      <c r="A12" s="14">
        <v>2001</v>
      </c>
      <c r="B12" s="15">
        <f>(4763-1)+7</f>
        <v>4769</v>
      </c>
      <c r="C12" s="15">
        <f>1922+5</f>
        <v>1927</v>
      </c>
      <c r="D12" s="15">
        <v>432</v>
      </c>
      <c r="E12" s="15">
        <v>267</v>
      </c>
      <c r="F12" s="15">
        <v>184</v>
      </c>
      <c r="G12" s="15">
        <v>143</v>
      </c>
      <c r="H12" s="15">
        <v>135</v>
      </c>
      <c r="I12" s="15">
        <v>84</v>
      </c>
      <c r="J12" s="15">
        <f>709+1</f>
        <v>710</v>
      </c>
      <c r="K12" s="15">
        <v>82</v>
      </c>
      <c r="L12" s="15">
        <v>80</v>
      </c>
      <c r="M12" s="15">
        <v>90</v>
      </c>
      <c r="N12" s="15">
        <f>134-1</f>
        <v>133</v>
      </c>
      <c r="O12" s="15">
        <v>99</v>
      </c>
      <c r="P12" s="15">
        <v>144</v>
      </c>
      <c r="Q12" s="15">
        <v>207</v>
      </c>
      <c r="R12" s="15">
        <v>52</v>
      </c>
      <c r="S12" s="16">
        <v>2001</v>
      </c>
      <c r="T12" s="5">
        <f>SUM(C12:R12)</f>
        <v>4769</v>
      </c>
      <c r="U12" s="5">
        <f>T12-B12</f>
        <v>0</v>
      </c>
      <c r="V12" s="44">
        <v>4769</v>
      </c>
      <c r="W12" s="5">
        <f t="shared" si="0"/>
        <v>4769</v>
      </c>
      <c r="X12" s="47">
        <f t="shared" si="1"/>
        <v>0</v>
      </c>
    </row>
    <row r="13" spans="1:35" s="4" customFormat="1" ht="4.5" customHeight="1" x14ac:dyDescent="0.3">
      <c r="A13" s="14" t="s">
        <v>1</v>
      </c>
      <c r="B13" s="15" t="s">
        <v>2</v>
      </c>
      <c r="C13" s="15" t="s">
        <v>3</v>
      </c>
      <c r="D13" s="15" t="s">
        <v>3</v>
      </c>
      <c r="E13" s="15" t="s">
        <v>3</v>
      </c>
      <c r="F13" s="15" t="s">
        <v>3</v>
      </c>
      <c r="G13" s="15" t="s">
        <v>3</v>
      </c>
      <c r="H13" s="15" t="s">
        <v>3</v>
      </c>
      <c r="I13" s="15" t="s">
        <v>3</v>
      </c>
      <c r="J13" s="15" t="s">
        <v>0</v>
      </c>
      <c r="K13" s="15" t="s">
        <v>0</v>
      </c>
      <c r="L13" s="15" t="s">
        <v>0</v>
      </c>
      <c r="M13" s="15" t="s">
        <v>0</v>
      </c>
      <c r="N13" s="15" t="s">
        <v>0</v>
      </c>
      <c r="O13" s="15" t="s">
        <v>0</v>
      </c>
      <c r="P13" s="15" t="s">
        <v>0</v>
      </c>
      <c r="Q13" s="15" t="s">
        <v>0</v>
      </c>
      <c r="R13" s="15" t="s">
        <v>0</v>
      </c>
      <c r="S13" s="16"/>
      <c r="T13" s="5">
        <f t="shared" si="2"/>
        <v>0</v>
      </c>
      <c r="U13" s="5" t="e">
        <f t="shared" si="3"/>
        <v>#VALUE!</v>
      </c>
      <c r="V13" s="44" t="s">
        <v>2</v>
      </c>
      <c r="W13" s="5">
        <f t="shared" si="0"/>
        <v>0</v>
      </c>
      <c r="X13" s="47" t="e">
        <f t="shared" si="1"/>
        <v>#VALUE!</v>
      </c>
    </row>
    <row r="14" spans="1:35" s="4" customFormat="1" ht="10.5" customHeight="1" x14ac:dyDescent="0.3">
      <c r="A14" s="14">
        <v>2002</v>
      </c>
      <c r="B14" s="15">
        <f>SUM(C14:R14)</f>
        <v>4955</v>
      </c>
      <c r="C14" s="15">
        <f>2011+6</f>
        <v>2017</v>
      </c>
      <c r="D14" s="15">
        <f>441+1</f>
        <v>442</v>
      </c>
      <c r="E14" s="15">
        <v>281</v>
      </c>
      <c r="F14" s="15">
        <v>192</v>
      </c>
      <c r="G14" s="15">
        <v>151</v>
      </c>
      <c r="H14" s="15">
        <v>144</v>
      </c>
      <c r="I14" s="15">
        <v>89</v>
      </c>
      <c r="J14" s="15">
        <f>752+1</f>
        <v>753</v>
      </c>
      <c r="K14" s="15">
        <v>80</v>
      </c>
      <c r="L14" s="15">
        <v>82</v>
      </c>
      <c r="M14" s="15">
        <v>88</v>
      </c>
      <c r="N14" s="15">
        <v>136</v>
      </c>
      <c r="O14" s="15">
        <v>93</v>
      </c>
      <c r="P14" s="15">
        <v>144</v>
      </c>
      <c r="Q14" s="15">
        <v>207</v>
      </c>
      <c r="R14" s="15">
        <v>56</v>
      </c>
      <c r="S14" s="16">
        <v>2002</v>
      </c>
      <c r="T14" s="5">
        <f t="shared" si="2"/>
        <v>4955</v>
      </c>
      <c r="U14" s="5">
        <f t="shared" si="3"/>
        <v>0</v>
      </c>
      <c r="V14" s="44">
        <v>4955</v>
      </c>
      <c r="W14" s="5">
        <f t="shared" si="0"/>
        <v>4955</v>
      </c>
      <c r="X14" s="47">
        <f t="shared" si="1"/>
        <v>0</v>
      </c>
    </row>
    <row r="15" spans="1:35" s="4" customFormat="1" ht="10.5" customHeight="1" x14ac:dyDescent="0.3">
      <c r="A15" s="14">
        <v>2003</v>
      </c>
      <c r="B15" s="15">
        <f>5004+8</f>
        <v>5012</v>
      </c>
      <c r="C15" s="15">
        <f>2003+6</f>
        <v>2009</v>
      </c>
      <c r="D15" s="15">
        <f>455+1</f>
        <v>456</v>
      </c>
      <c r="E15" s="15">
        <v>279</v>
      </c>
      <c r="F15" s="15">
        <v>192</v>
      </c>
      <c r="G15" s="15">
        <v>150</v>
      </c>
      <c r="H15" s="15">
        <v>142</v>
      </c>
      <c r="I15" s="15">
        <v>90</v>
      </c>
      <c r="J15" s="15">
        <f>808+1</f>
        <v>809</v>
      </c>
      <c r="K15" s="15">
        <v>74</v>
      </c>
      <c r="L15" s="15">
        <v>79</v>
      </c>
      <c r="M15" s="15">
        <v>86</v>
      </c>
      <c r="N15" s="15">
        <v>136</v>
      </c>
      <c r="O15" s="15">
        <v>94</v>
      </c>
      <c r="P15" s="15">
        <v>142</v>
      </c>
      <c r="Q15" s="15">
        <v>219</v>
      </c>
      <c r="R15" s="15">
        <v>55</v>
      </c>
      <c r="S15" s="16">
        <v>2003</v>
      </c>
      <c r="T15" s="5">
        <f t="shared" si="2"/>
        <v>5012</v>
      </c>
      <c r="U15" s="5">
        <f t="shared" si="3"/>
        <v>0</v>
      </c>
      <c r="V15" s="44">
        <v>5012</v>
      </c>
      <c r="W15" s="5">
        <f t="shared" si="0"/>
        <v>5012</v>
      </c>
      <c r="X15" s="47">
        <f t="shared" si="1"/>
        <v>0</v>
      </c>
    </row>
    <row r="16" spans="1:35" s="30" customFormat="1" ht="10.5" customHeight="1" x14ac:dyDescent="0.3">
      <c r="A16" s="17">
        <v>2004</v>
      </c>
      <c r="B16" s="15">
        <f>4993+8</f>
        <v>5001</v>
      </c>
      <c r="C16" s="15">
        <f>2016+6</f>
        <v>2022</v>
      </c>
      <c r="D16" s="15">
        <f>455+1</f>
        <v>456</v>
      </c>
      <c r="E16" s="15">
        <v>272</v>
      </c>
      <c r="F16" s="15">
        <v>196</v>
      </c>
      <c r="G16" s="15">
        <v>150</v>
      </c>
      <c r="H16" s="15">
        <v>143</v>
      </c>
      <c r="I16" s="15">
        <v>87</v>
      </c>
      <c r="J16" s="15">
        <f>822+1</f>
        <v>823</v>
      </c>
      <c r="K16" s="15">
        <v>69</v>
      </c>
      <c r="L16" s="15">
        <v>70</v>
      </c>
      <c r="M16" s="15">
        <v>88</v>
      </c>
      <c r="N16" s="15">
        <v>132</v>
      </c>
      <c r="O16" s="15">
        <v>91</v>
      </c>
      <c r="P16" s="15">
        <v>143</v>
      </c>
      <c r="Q16" s="15">
        <v>208</v>
      </c>
      <c r="R16" s="15">
        <v>52</v>
      </c>
      <c r="S16" s="17">
        <v>2004</v>
      </c>
      <c r="T16" s="5">
        <f t="shared" si="2"/>
        <v>5002</v>
      </c>
      <c r="U16" s="5">
        <f t="shared" si="3"/>
        <v>1</v>
      </c>
      <c r="V16" s="45">
        <v>5001</v>
      </c>
    </row>
    <row r="17" spans="1:22" s="30" customFormat="1" ht="10.5" customHeight="1" x14ac:dyDescent="0.3">
      <c r="A17" s="17">
        <v>2005</v>
      </c>
      <c r="B17" s="15">
        <v>5095</v>
      </c>
      <c r="C17" s="15">
        <v>2049</v>
      </c>
      <c r="D17" s="15">
        <v>455</v>
      </c>
      <c r="E17" s="15">
        <v>276</v>
      </c>
      <c r="F17" s="15">
        <v>205</v>
      </c>
      <c r="G17" s="15">
        <v>147</v>
      </c>
      <c r="H17" s="15">
        <v>142</v>
      </c>
      <c r="I17" s="15">
        <v>91</v>
      </c>
      <c r="J17" s="15">
        <v>864</v>
      </c>
      <c r="K17" s="15">
        <v>70</v>
      </c>
      <c r="L17" s="15">
        <v>70</v>
      </c>
      <c r="M17" s="15">
        <v>91</v>
      </c>
      <c r="N17" s="15">
        <v>133</v>
      </c>
      <c r="O17" s="15">
        <v>92</v>
      </c>
      <c r="P17" s="15">
        <v>146</v>
      </c>
      <c r="Q17" s="15">
        <v>213</v>
      </c>
      <c r="R17" s="15">
        <v>52</v>
      </c>
      <c r="S17" s="17">
        <v>2005</v>
      </c>
      <c r="T17" s="5">
        <f>SUM(C17:R17)</f>
        <v>5096</v>
      </c>
      <c r="U17" s="33">
        <f>T17-B17</f>
        <v>1</v>
      </c>
      <c r="V17" s="45">
        <v>5095</v>
      </c>
    </row>
    <row r="18" spans="1:22" ht="16.5" customHeight="1" x14ac:dyDescent="0.3">
      <c r="A18" s="133" t="s">
        <v>72</v>
      </c>
      <c r="B18" s="133"/>
      <c r="C18" s="133"/>
      <c r="D18" s="133"/>
      <c r="E18" s="133"/>
      <c r="F18" s="133"/>
      <c r="G18" s="133"/>
      <c r="H18" s="133"/>
      <c r="I18" s="133"/>
      <c r="J18" s="136" t="s">
        <v>72</v>
      </c>
      <c r="K18" s="136"/>
      <c r="L18" s="136"/>
      <c r="M18" s="136"/>
      <c r="N18" s="136"/>
      <c r="O18" s="136"/>
      <c r="P18" s="136"/>
      <c r="Q18" s="136"/>
      <c r="R18" s="136"/>
      <c r="S18" s="136"/>
      <c r="U18" s="33">
        <f t="shared" si="3"/>
        <v>0</v>
      </c>
    </row>
    <row r="19" spans="1:22" ht="10.5" hidden="1" customHeight="1" x14ac:dyDescent="0.3">
      <c r="A19" s="11">
        <v>1994</v>
      </c>
      <c r="B19" s="12">
        <v>2137</v>
      </c>
      <c r="C19" s="12">
        <v>695</v>
      </c>
      <c r="D19" s="12">
        <v>132</v>
      </c>
      <c r="E19" s="12">
        <v>86</v>
      </c>
      <c r="F19" s="12">
        <v>75</v>
      </c>
      <c r="G19" s="12">
        <v>55</v>
      </c>
      <c r="H19" s="12">
        <v>54</v>
      </c>
      <c r="I19" s="12" t="s">
        <v>19</v>
      </c>
      <c r="J19" s="12">
        <v>319</v>
      </c>
      <c r="K19" s="12">
        <v>87</v>
      </c>
      <c r="L19" s="12">
        <v>64</v>
      </c>
      <c r="M19" s="12">
        <v>85</v>
      </c>
      <c r="N19" s="12">
        <v>72</v>
      </c>
      <c r="O19" s="12">
        <v>95</v>
      </c>
      <c r="P19" s="12">
        <v>125</v>
      </c>
      <c r="Q19" s="12">
        <v>167</v>
      </c>
      <c r="R19" s="12">
        <v>26</v>
      </c>
      <c r="S19" s="13">
        <v>1994</v>
      </c>
      <c r="U19" s="33">
        <f t="shared" si="3"/>
        <v>-2137</v>
      </c>
    </row>
    <row r="20" spans="1:22" ht="10.5" hidden="1" customHeight="1" x14ac:dyDescent="0.3">
      <c r="A20" s="11">
        <v>1995</v>
      </c>
      <c r="B20" s="12">
        <v>1794</v>
      </c>
      <c r="C20" s="12">
        <v>510</v>
      </c>
      <c r="D20" s="12">
        <v>113</v>
      </c>
      <c r="E20" s="12">
        <v>78</v>
      </c>
      <c r="F20" s="12">
        <v>68</v>
      </c>
      <c r="G20" s="12">
        <v>49</v>
      </c>
      <c r="H20" s="12">
        <v>49</v>
      </c>
      <c r="I20" s="12" t="s">
        <v>19</v>
      </c>
      <c r="J20" s="12">
        <v>287</v>
      </c>
      <c r="K20" s="12">
        <v>77</v>
      </c>
      <c r="L20" s="12">
        <v>55</v>
      </c>
      <c r="M20" s="12">
        <v>72</v>
      </c>
      <c r="N20" s="12">
        <v>69</v>
      </c>
      <c r="O20" s="12">
        <v>91</v>
      </c>
      <c r="P20" s="12">
        <v>104</v>
      </c>
      <c r="Q20" s="12">
        <v>146</v>
      </c>
      <c r="R20" s="12">
        <v>26</v>
      </c>
      <c r="S20" s="13">
        <v>1995</v>
      </c>
      <c r="U20" s="33">
        <f t="shared" si="3"/>
        <v>-1794</v>
      </c>
    </row>
    <row r="21" spans="1:22" ht="10.5" hidden="1" customHeight="1" x14ac:dyDescent="0.3">
      <c r="A21" s="11">
        <v>1996</v>
      </c>
      <c r="B21" s="12">
        <v>1930</v>
      </c>
      <c r="C21" s="12">
        <v>533</v>
      </c>
      <c r="D21" s="12">
        <v>122</v>
      </c>
      <c r="E21" s="12">
        <v>86</v>
      </c>
      <c r="F21" s="12">
        <v>76</v>
      </c>
      <c r="G21" s="12">
        <v>54</v>
      </c>
      <c r="H21" s="12">
        <v>57</v>
      </c>
      <c r="I21" s="12" t="s">
        <v>19</v>
      </c>
      <c r="J21" s="12">
        <v>320</v>
      </c>
      <c r="K21" s="12">
        <v>81</v>
      </c>
      <c r="L21" s="12">
        <v>60</v>
      </c>
      <c r="M21" s="12">
        <v>77</v>
      </c>
      <c r="N21" s="12">
        <v>77</v>
      </c>
      <c r="O21" s="12">
        <v>95</v>
      </c>
      <c r="P21" s="12">
        <v>111</v>
      </c>
      <c r="Q21" s="12">
        <v>153</v>
      </c>
      <c r="R21" s="12">
        <v>28</v>
      </c>
      <c r="S21" s="13">
        <v>1996</v>
      </c>
      <c r="U21" s="33">
        <f t="shared" si="3"/>
        <v>-1930</v>
      </c>
    </row>
    <row r="22" spans="1:22" ht="10.5" hidden="1" customHeight="1" x14ac:dyDescent="0.3">
      <c r="A22" s="11">
        <v>1997</v>
      </c>
      <c r="B22" s="12">
        <v>1558</v>
      </c>
      <c r="C22" s="12">
        <v>394</v>
      </c>
      <c r="D22" s="12">
        <v>99</v>
      </c>
      <c r="E22" s="12">
        <v>69</v>
      </c>
      <c r="F22" s="12">
        <v>60</v>
      </c>
      <c r="G22" s="12">
        <v>41</v>
      </c>
      <c r="H22" s="12">
        <v>42</v>
      </c>
      <c r="I22" s="12">
        <v>27</v>
      </c>
      <c r="J22" s="12">
        <v>250</v>
      </c>
      <c r="K22" s="12">
        <v>76</v>
      </c>
      <c r="L22" s="12">
        <v>45</v>
      </c>
      <c r="M22" s="12">
        <v>69</v>
      </c>
      <c r="N22" s="12">
        <v>65</v>
      </c>
      <c r="O22" s="12">
        <v>85</v>
      </c>
      <c r="P22" s="12">
        <v>100</v>
      </c>
      <c r="Q22" s="12">
        <v>111</v>
      </c>
      <c r="R22" s="12">
        <v>25</v>
      </c>
      <c r="S22" s="13">
        <v>1997</v>
      </c>
      <c r="T22" s="5">
        <f t="shared" ref="T22:T86" si="4">SUM(C22:R22)</f>
        <v>1558</v>
      </c>
      <c r="U22" s="33">
        <f t="shared" si="3"/>
        <v>0</v>
      </c>
    </row>
    <row r="23" spans="1:22" ht="10.5" hidden="1" customHeight="1" x14ac:dyDescent="0.3">
      <c r="A23" s="11">
        <v>1998</v>
      </c>
      <c r="B23" s="12">
        <v>1511</v>
      </c>
      <c r="C23" s="12">
        <v>381</v>
      </c>
      <c r="D23" s="12">
        <v>94</v>
      </c>
      <c r="E23" s="12">
        <v>64</v>
      </c>
      <c r="F23" s="12">
        <v>59</v>
      </c>
      <c r="G23" s="12">
        <v>42</v>
      </c>
      <c r="H23" s="12">
        <v>40</v>
      </c>
      <c r="I23" s="12">
        <v>24</v>
      </c>
      <c r="J23" s="12">
        <v>242</v>
      </c>
      <c r="K23" s="12">
        <v>76</v>
      </c>
      <c r="L23" s="12">
        <v>47</v>
      </c>
      <c r="M23" s="12">
        <v>68</v>
      </c>
      <c r="N23" s="12">
        <v>62</v>
      </c>
      <c r="O23" s="12">
        <v>82</v>
      </c>
      <c r="P23" s="12">
        <v>96</v>
      </c>
      <c r="Q23" s="12">
        <v>109</v>
      </c>
      <c r="R23" s="12">
        <v>25</v>
      </c>
      <c r="S23" s="13">
        <v>1998</v>
      </c>
      <c r="T23" s="5">
        <f t="shared" si="4"/>
        <v>1511</v>
      </c>
      <c r="U23" s="33">
        <f t="shared" si="3"/>
        <v>0</v>
      </c>
    </row>
    <row r="24" spans="1:22" ht="10.5" customHeight="1" x14ac:dyDescent="0.3">
      <c r="A24" s="11">
        <v>1999</v>
      </c>
      <c r="B24" s="12">
        <v>1428</v>
      </c>
      <c r="C24" s="12">
        <v>370</v>
      </c>
      <c r="D24" s="12">
        <v>92</v>
      </c>
      <c r="E24" s="12">
        <v>59</v>
      </c>
      <c r="F24" s="12">
        <v>57</v>
      </c>
      <c r="G24" s="12">
        <v>39</v>
      </c>
      <c r="H24" s="12">
        <v>39</v>
      </c>
      <c r="I24" s="12">
        <v>23</v>
      </c>
      <c r="J24" s="12">
        <v>237</v>
      </c>
      <c r="K24" s="12">
        <v>68</v>
      </c>
      <c r="L24" s="12">
        <v>45</v>
      </c>
      <c r="M24" s="12">
        <v>58</v>
      </c>
      <c r="N24" s="12">
        <v>58</v>
      </c>
      <c r="O24" s="12">
        <v>72</v>
      </c>
      <c r="P24" s="12">
        <v>87</v>
      </c>
      <c r="Q24" s="12">
        <v>100</v>
      </c>
      <c r="R24" s="12">
        <v>24</v>
      </c>
      <c r="S24" s="13">
        <v>1999</v>
      </c>
      <c r="T24" s="5">
        <f t="shared" si="4"/>
        <v>1428</v>
      </c>
      <c r="U24" s="33">
        <f t="shared" si="3"/>
        <v>0</v>
      </c>
    </row>
    <row r="25" spans="1:22" ht="10.5" customHeight="1" x14ac:dyDescent="0.3">
      <c r="A25" s="11">
        <v>2000</v>
      </c>
      <c r="B25" s="12">
        <v>1361</v>
      </c>
      <c r="C25" s="12">
        <v>353</v>
      </c>
      <c r="D25" s="12">
        <v>89</v>
      </c>
      <c r="E25" s="12">
        <v>56</v>
      </c>
      <c r="F25" s="12">
        <v>54</v>
      </c>
      <c r="G25" s="12">
        <v>37</v>
      </c>
      <c r="H25" s="12">
        <v>38</v>
      </c>
      <c r="I25" s="12">
        <v>23</v>
      </c>
      <c r="J25" s="12">
        <v>232</v>
      </c>
      <c r="K25" s="12">
        <v>65</v>
      </c>
      <c r="L25" s="12">
        <v>43</v>
      </c>
      <c r="M25" s="12">
        <v>56</v>
      </c>
      <c r="N25" s="12">
        <v>51</v>
      </c>
      <c r="O25" s="12">
        <v>66</v>
      </c>
      <c r="P25" s="12">
        <v>81</v>
      </c>
      <c r="Q25" s="12">
        <v>93</v>
      </c>
      <c r="R25" s="12">
        <v>24</v>
      </c>
      <c r="S25" s="13">
        <v>2000</v>
      </c>
      <c r="T25" s="5">
        <f t="shared" si="4"/>
        <v>1361</v>
      </c>
      <c r="U25" s="33">
        <f t="shared" si="3"/>
        <v>0</v>
      </c>
    </row>
    <row r="26" spans="1:22" ht="10.5" customHeight="1" x14ac:dyDescent="0.3">
      <c r="A26" s="11">
        <v>2001</v>
      </c>
      <c r="B26" s="12">
        <v>1347</v>
      </c>
      <c r="C26" s="12">
        <v>341</v>
      </c>
      <c r="D26" s="12">
        <v>89</v>
      </c>
      <c r="E26" s="12">
        <v>56</v>
      </c>
      <c r="F26" s="12">
        <v>53</v>
      </c>
      <c r="G26" s="12">
        <v>39</v>
      </c>
      <c r="H26" s="12">
        <v>39</v>
      </c>
      <c r="I26" s="12">
        <v>23</v>
      </c>
      <c r="J26" s="12">
        <v>231</v>
      </c>
      <c r="K26" s="12">
        <v>67</v>
      </c>
      <c r="L26" s="12">
        <v>43</v>
      </c>
      <c r="M26" s="12">
        <v>55</v>
      </c>
      <c r="N26" s="12">
        <v>50</v>
      </c>
      <c r="O26" s="12">
        <v>66</v>
      </c>
      <c r="P26" s="12">
        <v>80</v>
      </c>
      <c r="Q26" s="12">
        <v>92</v>
      </c>
      <c r="R26" s="12">
        <v>23</v>
      </c>
      <c r="S26" s="13">
        <v>2001</v>
      </c>
      <c r="T26" s="5">
        <f>SUM(C26:R26)</f>
        <v>1347</v>
      </c>
      <c r="U26" s="33">
        <f>T26-B26</f>
        <v>0</v>
      </c>
    </row>
    <row r="27" spans="1:22" ht="4.5" customHeight="1" x14ac:dyDescent="0.3">
      <c r="A27" s="11" t="s">
        <v>1</v>
      </c>
      <c r="B27" s="12" t="s">
        <v>2</v>
      </c>
      <c r="C27" s="12" t="s">
        <v>3</v>
      </c>
      <c r="D27" s="12" t="s">
        <v>3</v>
      </c>
      <c r="E27" s="12" t="s">
        <v>3</v>
      </c>
      <c r="F27" s="12" t="s">
        <v>3</v>
      </c>
      <c r="G27" s="12" t="s">
        <v>3</v>
      </c>
      <c r="H27" s="12" t="s">
        <v>3</v>
      </c>
      <c r="I27" s="12" t="s">
        <v>3</v>
      </c>
      <c r="J27" s="12" t="s">
        <v>0</v>
      </c>
      <c r="K27" s="12" t="s">
        <v>0</v>
      </c>
      <c r="L27" s="12" t="s">
        <v>0</v>
      </c>
      <c r="M27" s="12" t="s">
        <v>0</v>
      </c>
      <c r="N27" s="12" t="s">
        <v>0</v>
      </c>
      <c r="O27" s="12" t="s">
        <v>0</v>
      </c>
      <c r="P27" s="12" t="s">
        <v>0</v>
      </c>
      <c r="Q27" s="12" t="s">
        <v>0</v>
      </c>
      <c r="R27" s="12" t="s">
        <v>0</v>
      </c>
      <c r="S27" s="13"/>
      <c r="T27" s="5">
        <f t="shared" si="4"/>
        <v>0</v>
      </c>
      <c r="U27" s="33" t="e">
        <f t="shared" si="3"/>
        <v>#VALUE!</v>
      </c>
    </row>
    <row r="28" spans="1:22" ht="10.5" customHeight="1" x14ac:dyDescent="0.3">
      <c r="A28" s="11">
        <v>2002</v>
      </c>
      <c r="B28" s="12">
        <f>SUM(C28:R28)</f>
        <v>1387</v>
      </c>
      <c r="C28" s="12">
        <v>347</v>
      </c>
      <c r="D28" s="12">
        <v>90</v>
      </c>
      <c r="E28" s="12">
        <v>59</v>
      </c>
      <c r="F28" s="12">
        <v>56</v>
      </c>
      <c r="G28" s="12">
        <v>40</v>
      </c>
      <c r="H28" s="12">
        <v>39</v>
      </c>
      <c r="I28" s="12">
        <v>24</v>
      </c>
      <c r="J28" s="12">
        <v>244</v>
      </c>
      <c r="K28" s="12">
        <v>67</v>
      </c>
      <c r="L28" s="12">
        <v>45</v>
      </c>
      <c r="M28" s="12">
        <v>57</v>
      </c>
      <c r="N28" s="12">
        <v>52</v>
      </c>
      <c r="O28" s="12">
        <v>69</v>
      </c>
      <c r="P28" s="12">
        <v>81</v>
      </c>
      <c r="Q28" s="12">
        <v>93</v>
      </c>
      <c r="R28" s="12">
        <v>24</v>
      </c>
      <c r="S28" s="13">
        <v>2002</v>
      </c>
      <c r="T28" s="5">
        <f t="shared" si="4"/>
        <v>1387</v>
      </c>
      <c r="U28" s="33">
        <f t="shared" si="3"/>
        <v>0</v>
      </c>
    </row>
    <row r="29" spans="1:22" ht="10.5" customHeight="1" x14ac:dyDescent="0.3">
      <c r="A29" s="19">
        <v>2003</v>
      </c>
      <c r="B29" s="12">
        <v>1404</v>
      </c>
      <c r="C29" s="12">
        <v>339</v>
      </c>
      <c r="D29" s="12">
        <v>89</v>
      </c>
      <c r="E29" s="12">
        <v>60</v>
      </c>
      <c r="F29" s="12">
        <v>56</v>
      </c>
      <c r="G29" s="12">
        <v>40</v>
      </c>
      <c r="H29" s="12">
        <v>39</v>
      </c>
      <c r="I29" s="12">
        <v>25</v>
      </c>
      <c r="J29" s="12">
        <v>260</v>
      </c>
      <c r="K29" s="12">
        <v>68</v>
      </c>
      <c r="L29" s="12">
        <v>46</v>
      </c>
      <c r="M29" s="12">
        <v>59</v>
      </c>
      <c r="N29" s="12">
        <v>53</v>
      </c>
      <c r="O29" s="12">
        <v>69</v>
      </c>
      <c r="P29" s="12">
        <v>82</v>
      </c>
      <c r="Q29" s="12">
        <v>94</v>
      </c>
      <c r="R29" s="12">
        <v>25</v>
      </c>
      <c r="S29" s="13">
        <v>2003</v>
      </c>
      <c r="T29" s="5">
        <f t="shared" si="4"/>
        <v>1404</v>
      </c>
      <c r="U29" s="33">
        <f t="shared" si="3"/>
        <v>0</v>
      </c>
    </row>
    <row r="30" spans="1:22" s="30" customFormat="1" ht="10.5" customHeight="1" x14ac:dyDescent="0.3">
      <c r="A30" s="17">
        <v>2004</v>
      </c>
      <c r="B30" s="15">
        <v>1428</v>
      </c>
      <c r="C30" s="15">
        <v>341</v>
      </c>
      <c r="D30" s="15">
        <v>91</v>
      </c>
      <c r="E30" s="15">
        <v>59</v>
      </c>
      <c r="F30" s="15">
        <v>55</v>
      </c>
      <c r="G30" s="15">
        <v>40</v>
      </c>
      <c r="H30" s="15">
        <v>39</v>
      </c>
      <c r="I30" s="15">
        <v>25</v>
      </c>
      <c r="J30" s="15">
        <v>273</v>
      </c>
      <c r="K30" s="15">
        <v>68</v>
      </c>
      <c r="L30" s="15">
        <v>50</v>
      </c>
      <c r="M30" s="15">
        <v>60</v>
      </c>
      <c r="N30" s="15">
        <v>55</v>
      </c>
      <c r="O30" s="15">
        <v>71</v>
      </c>
      <c r="P30" s="15">
        <v>82</v>
      </c>
      <c r="Q30" s="15">
        <v>94</v>
      </c>
      <c r="R30" s="15">
        <v>25</v>
      </c>
      <c r="S30" s="17">
        <v>2004</v>
      </c>
      <c r="T30" s="5">
        <f t="shared" si="4"/>
        <v>1428</v>
      </c>
      <c r="U30" s="33">
        <f t="shared" si="3"/>
        <v>0</v>
      </c>
    </row>
    <row r="31" spans="1:22" s="30" customFormat="1" ht="10.5" customHeight="1" x14ac:dyDescent="0.3">
      <c r="A31" s="17">
        <v>2005</v>
      </c>
      <c r="B31" s="15">
        <v>1495</v>
      </c>
      <c r="C31" s="15">
        <v>360</v>
      </c>
      <c r="D31" s="15">
        <v>95</v>
      </c>
      <c r="E31" s="15">
        <v>61</v>
      </c>
      <c r="F31" s="15">
        <v>64</v>
      </c>
      <c r="G31" s="15">
        <v>41</v>
      </c>
      <c r="H31" s="15">
        <v>39</v>
      </c>
      <c r="I31" s="15">
        <v>26</v>
      </c>
      <c r="J31" s="15">
        <v>292</v>
      </c>
      <c r="K31" s="15">
        <v>68</v>
      </c>
      <c r="L31" s="15">
        <v>52</v>
      </c>
      <c r="M31" s="15">
        <v>63</v>
      </c>
      <c r="N31" s="15">
        <v>55</v>
      </c>
      <c r="O31" s="15">
        <v>71</v>
      </c>
      <c r="P31" s="15">
        <v>84</v>
      </c>
      <c r="Q31" s="15">
        <v>99</v>
      </c>
      <c r="R31" s="15">
        <v>25</v>
      </c>
      <c r="S31" s="17">
        <v>2005</v>
      </c>
      <c r="T31" s="5">
        <f>SUM(C31:R31)</f>
        <v>1495</v>
      </c>
      <c r="U31" s="33">
        <f>T31-B31</f>
        <v>0</v>
      </c>
    </row>
    <row r="32" spans="1:22" ht="16.5" customHeight="1" x14ac:dyDescent="0.3">
      <c r="A32" s="133" t="s">
        <v>73</v>
      </c>
      <c r="B32" s="133"/>
      <c r="C32" s="133"/>
      <c r="D32" s="133"/>
      <c r="E32" s="133"/>
      <c r="F32" s="133"/>
      <c r="G32" s="133"/>
      <c r="H32" s="133"/>
      <c r="I32" s="133"/>
      <c r="J32" s="136" t="s">
        <v>73</v>
      </c>
      <c r="K32" s="136"/>
      <c r="L32" s="136"/>
      <c r="M32" s="136"/>
      <c r="N32" s="136"/>
      <c r="O32" s="136"/>
      <c r="P32" s="136"/>
      <c r="Q32" s="136"/>
      <c r="R32" s="136"/>
      <c r="S32" s="136"/>
      <c r="T32" s="5">
        <f t="shared" si="4"/>
        <v>0</v>
      </c>
      <c r="U32" s="33">
        <f t="shared" si="3"/>
        <v>0</v>
      </c>
    </row>
    <row r="33" spans="1:21" ht="10.5" hidden="1" customHeight="1" x14ac:dyDescent="0.3">
      <c r="A33" s="11">
        <v>1994</v>
      </c>
      <c r="B33" s="12">
        <v>30</v>
      </c>
      <c r="C33" s="12">
        <v>14</v>
      </c>
      <c r="D33" s="12">
        <v>5</v>
      </c>
      <c r="E33" s="12">
        <v>3</v>
      </c>
      <c r="F33" s="12">
        <v>1</v>
      </c>
      <c r="G33" s="12">
        <v>1</v>
      </c>
      <c r="H33" s="12">
        <v>1</v>
      </c>
      <c r="I33" s="12" t="s">
        <v>19</v>
      </c>
      <c r="J33" s="12">
        <v>1</v>
      </c>
      <c r="K33" s="12" t="s">
        <v>20</v>
      </c>
      <c r="L33" s="12">
        <v>1</v>
      </c>
      <c r="M33" s="12" t="s">
        <v>20</v>
      </c>
      <c r="N33" s="12">
        <v>1</v>
      </c>
      <c r="O33" s="12" t="s">
        <v>20</v>
      </c>
      <c r="P33" s="12" t="s">
        <v>20</v>
      </c>
      <c r="Q33" s="12">
        <v>2</v>
      </c>
      <c r="R33" s="12" t="s">
        <v>20</v>
      </c>
      <c r="S33" s="13">
        <v>1994</v>
      </c>
      <c r="T33" s="5">
        <f t="shared" si="4"/>
        <v>30</v>
      </c>
      <c r="U33" s="33">
        <f t="shared" si="3"/>
        <v>0</v>
      </c>
    </row>
    <row r="34" spans="1:21" ht="10.5" hidden="1" customHeight="1" x14ac:dyDescent="0.3">
      <c r="A34" s="11">
        <v>1995</v>
      </c>
      <c r="B34" s="12">
        <v>30</v>
      </c>
      <c r="C34" s="12">
        <v>14</v>
      </c>
      <c r="D34" s="12">
        <v>5</v>
      </c>
      <c r="E34" s="12">
        <v>3</v>
      </c>
      <c r="F34" s="12">
        <v>1</v>
      </c>
      <c r="G34" s="12">
        <v>1</v>
      </c>
      <c r="H34" s="12">
        <v>1</v>
      </c>
      <c r="I34" s="12" t="s">
        <v>19</v>
      </c>
      <c r="J34" s="12">
        <v>1</v>
      </c>
      <c r="K34" s="12" t="s">
        <v>20</v>
      </c>
      <c r="L34" s="12">
        <v>1</v>
      </c>
      <c r="M34" s="12" t="s">
        <v>20</v>
      </c>
      <c r="N34" s="12">
        <v>1</v>
      </c>
      <c r="O34" s="12" t="s">
        <v>20</v>
      </c>
      <c r="P34" s="12" t="s">
        <v>20</v>
      </c>
      <c r="Q34" s="12">
        <v>2</v>
      </c>
      <c r="R34" s="12" t="s">
        <v>20</v>
      </c>
      <c r="S34" s="13">
        <v>1995</v>
      </c>
      <c r="T34" s="5">
        <f t="shared" si="4"/>
        <v>30</v>
      </c>
      <c r="U34" s="33">
        <f t="shared" si="3"/>
        <v>0</v>
      </c>
    </row>
    <row r="35" spans="1:21" ht="10.5" hidden="1" customHeight="1" x14ac:dyDescent="0.3">
      <c r="A35" s="11">
        <v>1996</v>
      </c>
      <c r="B35" s="12">
        <v>30</v>
      </c>
      <c r="C35" s="12">
        <v>14</v>
      </c>
      <c r="D35" s="12">
        <v>5</v>
      </c>
      <c r="E35" s="12">
        <v>3</v>
      </c>
      <c r="F35" s="12">
        <v>1</v>
      </c>
      <c r="G35" s="12">
        <v>1</v>
      </c>
      <c r="H35" s="12">
        <v>1</v>
      </c>
      <c r="I35" s="12" t="s">
        <v>19</v>
      </c>
      <c r="J35" s="12">
        <v>1</v>
      </c>
      <c r="K35" s="12" t="s">
        <v>20</v>
      </c>
      <c r="L35" s="12">
        <v>1</v>
      </c>
      <c r="M35" s="12" t="s">
        <v>20</v>
      </c>
      <c r="N35" s="12">
        <v>1</v>
      </c>
      <c r="O35" s="12" t="s">
        <v>20</v>
      </c>
      <c r="P35" s="12" t="s">
        <v>20</v>
      </c>
      <c r="Q35" s="12">
        <v>2</v>
      </c>
      <c r="R35" s="12" t="s">
        <v>20</v>
      </c>
      <c r="S35" s="13">
        <v>1996</v>
      </c>
      <c r="T35" s="5">
        <f t="shared" si="4"/>
        <v>30</v>
      </c>
      <c r="U35" s="33">
        <f t="shared" si="3"/>
        <v>0</v>
      </c>
    </row>
    <row r="36" spans="1:21" ht="10.5" hidden="1" customHeight="1" x14ac:dyDescent="0.3">
      <c r="A36" s="11">
        <v>1997</v>
      </c>
      <c r="B36" s="12">
        <v>30</v>
      </c>
      <c r="C36" s="12">
        <v>14</v>
      </c>
      <c r="D36" s="12">
        <v>5</v>
      </c>
      <c r="E36" s="12">
        <v>3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 t="s">
        <v>20</v>
      </c>
      <c r="L36" s="12">
        <v>1</v>
      </c>
      <c r="M36" s="12" t="s">
        <v>20</v>
      </c>
      <c r="N36" s="12">
        <v>1</v>
      </c>
      <c r="O36" s="12" t="s">
        <v>20</v>
      </c>
      <c r="P36" s="12" t="s">
        <v>20</v>
      </c>
      <c r="Q36" s="12">
        <v>1</v>
      </c>
      <c r="R36" s="12" t="s">
        <v>20</v>
      </c>
      <c r="S36" s="13">
        <v>1997</v>
      </c>
      <c r="T36" s="5">
        <f t="shared" si="4"/>
        <v>30</v>
      </c>
      <c r="U36" s="33">
        <f t="shared" si="3"/>
        <v>0</v>
      </c>
    </row>
    <row r="37" spans="1:21" ht="10.5" hidden="1" customHeight="1" x14ac:dyDescent="0.3">
      <c r="A37" s="11">
        <v>1998</v>
      </c>
      <c r="B37" s="12">
        <v>14</v>
      </c>
      <c r="C37" s="12">
        <v>9</v>
      </c>
      <c r="D37" s="12">
        <v>1</v>
      </c>
      <c r="E37" s="12">
        <v>1</v>
      </c>
      <c r="F37" s="12" t="s">
        <v>19</v>
      </c>
      <c r="G37" s="12">
        <v>1</v>
      </c>
      <c r="H37" s="12" t="s">
        <v>19</v>
      </c>
      <c r="I37" s="12">
        <v>1</v>
      </c>
      <c r="J37" s="12">
        <v>1</v>
      </c>
      <c r="K37" s="12" t="s">
        <v>20</v>
      </c>
      <c r="L37" s="12" t="s">
        <v>20</v>
      </c>
      <c r="M37" s="12" t="s">
        <v>20</v>
      </c>
      <c r="N37" s="12" t="s">
        <v>20</v>
      </c>
      <c r="O37" s="12" t="s">
        <v>20</v>
      </c>
      <c r="P37" s="12" t="s">
        <v>20</v>
      </c>
      <c r="Q37" s="12" t="s">
        <v>20</v>
      </c>
      <c r="R37" s="12" t="s">
        <v>20</v>
      </c>
      <c r="S37" s="13">
        <v>1998</v>
      </c>
      <c r="T37" s="5">
        <f t="shared" si="4"/>
        <v>14</v>
      </c>
      <c r="U37" s="33">
        <f t="shared" si="3"/>
        <v>0</v>
      </c>
    </row>
    <row r="38" spans="1:21" ht="10.5" customHeight="1" x14ac:dyDescent="0.3">
      <c r="A38" s="11">
        <v>1999</v>
      </c>
      <c r="B38" s="12">
        <v>13</v>
      </c>
      <c r="C38" s="12">
        <v>8</v>
      </c>
      <c r="D38" s="12">
        <v>1</v>
      </c>
      <c r="E38" s="12">
        <v>1</v>
      </c>
      <c r="F38" s="12" t="s">
        <v>19</v>
      </c>
      <c r="G38" s="12">
        <v>1</v>
      </c>
      <c r="H38" s="12" t="s">
        <v>19</v>
      </c>
      <c r="I38" s="12">
        <v>1</v>
      </c>
      <c r="J38" s="12">
        <v>1</v>
      </c>
      <c r="K38" s="12" t="s">
        <v>20</v>
      </c>
      <c r="L38" s="12" t="s">
        <v>20</v>
      </c>
      <c r="M38" s="12" t="s">
        <v>20</v>
      </c>
      <c r="N38" s="12" t="s">
        <v>20</v>
      </c>
      <c r="O38" s="12" t="s">
        <v>20</v>
      </c>
      <c r="P38" s="12" t="s">
        <v>20</v>
      </c>
      <c r="Q38" s="12" t="s">
        <v>20</v>
      </c>
      <c r="R38" s="12" t="s">
        <v>20</v>
      </c>
      <c r="S38" s="13">
        <v>1999</v>
      </c>
      <c r="T38" s="5">
        <f t="shared" si="4"/>
        <v>13</v>
      </c>
      <c r="U38" s="33">
        <f t="shared" si="3"/>
        <v>0</v>
      </c>
    </row>
    <row r="39" spans="1:21" ht="10.5" customHeight="1" x14ac:dyDescent="0.3">
      <c r="A39" s="11">
        <v>2000</v>
      </c>
      <c r="B39" s="12">
        <v>12</v>
      </c>
      <c r="C39" s="12">
        <v>8</v>
      </c>
      <c r="D39" s="12" t="s">
        <v>19</v>
      </c>
      <c r="E39" s="12">
        <v>1</v>
      </c>
      <c r="F39" s="12" t="s">
        <v>19</v>
      </c>
      <c r="G39" s="12">
        <v>1</v>
      </c>
      <c r="H39" s="12" t="s">
        <v>19</v>
      </c>
      <c r="I39" s="12">
        <v>1</v>
      </c>
      <c r="J39" s="12">
        <v>1</v>
      </c>
      <c r="K39" s="12" t="s">
        <v>20</v>
      </c>
      <c r="L39" s="12" t="s">
        <v>20</v>
      </c>
      <c r="M39" s="12" t="s">
        <v>20</v>
      </c>
      <c r="N39" s="12" t="s">
        <v>20</v>
      </c>
      <c r="O39" s="12" t="s">
        <v>20</v>
      </c>
      <c r="P39" s="12" t="s">
        <v>20</v>
      </c>
      <c r="Q39" s="12" t="s">
        <v>20</v>
      </c>
      <c r="R39" s="12" t="s">
        <v>20</v>
      </c>
      <c r="S39" s="13">
        <v>2000</v>
      </c>
      <c r="T39" s="5">
        <f t="shared" si="4"/>
        <v>12</v>
      </c>
      <c r="U39" s="33">
        <f t="shared" si="3"/>
        <v>0</v>
      </c>
    </row>
    <row r="40" spans="1:21" ht="10.5" customHeight="1" x14ac:dyDescent="0.3">
      <c r="A40" s="11">
        <v>2001</v>
      </c>
      <c r="B40" s="12">
        <v>7</v>
      </c>
      <c r="C40" s="12">
        <v>6</v>
      </c>
      <c r="D40" s="12" t="s">
        <v>19</v>
      </c>
      <c r="E40" s="12" t="s">
        <v>19</v>
      </c>
      <c r="F40" s="12" t="s">
        <v>19</v>
      </c>
      <c r="G40" s="12">
        <v>1</v>
      </c>
      <c r="H40" s="12" t="s">
        <v>19</v>
      </c>
      <c r="I40" s="12" t="s">
        <v>19</v>
      </c>
      <c r="J40" s="12" t="s">
        <v>19</v>
      </c>
      <c r="K40" s="12" t="s">
        <v>20</v>
      </c>
      <c r="L40" s="12" t="s">
        <v>20</v>
      </c>
      <c r="M40" s="12" t="s">
        <v>20</v>
      </c>
      <c r="N40" s="12" t="s">
        <v>20</v>
      </c>
      <c r="O40" s="12" t="s">
        <v>20</v>
      </c>
      <c r="P40" s="12" t="s">
        <v>20</v>
      </c>
      <c r="Q40" s="12" t="s">
        <v>20</v>
      </c>
      <c r="R40" s="12" t="s">
        <v>20</v>
      </c>
      <c r="S40" s="13">
        <v>2001</v>
      </c>
      <c r="T40" s="5">
        <f>SUM(C40:R40)</f>
        <v>7</v>
      </c>
      <c r="U40" s="33">
        <f>T40-B40</f>
        <v>0</v>
      </c>
    </row>
    <row r="41" spans="1:21" ht="6" customHeight="1" x14ac:dyDescent="0.3">
      <c r="A41" s="11" t="s">
        <v>1</v>
      </c>
      <c r="B41" s="12" t="s">
        <v>2</v>
      </c>
      <c r="C41" s="12" t="s">
        <v>3</v>
      </c>
      <c r="D41" s="12" t="s">
        <v>3</v>
      </c>
      <c r="E41" s="12" t="s">
        <v>3</v>
      </c>
      <c r="F41" s="12" t="s">
        <v>3</v>
      </c>
      <c r="G41" s="12" t="s">
        <v>3</v>
      </c>
      <c r="H41" s="12" t="s">
        <v>3</v>
      </c>
      <c r="I41" s="12" t="s">
        <v>3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3"/>
      <c r="T41" s="5">
        <f t="shared" si="4"/>
        <v>0</v>
      </c>
      <c r="U41" s="33" t="e">
        <f t="shared" si="3"/>
        <v>#VALUE!</v>
      </c>
    </row>
    <row r="42" spans="1:21" ht="10.5" customHeight="1" x14ac:dyDescent="0.3">
      <c r="A42" s="11">
        <v>2002</v>
      </c>
      <c r="B42" s="12">
        <v>7</v>
      </c>
      <c r="C42" s="12">
        <v>6</v>
      </c>
      <c r="D42" s="12" t="s">
        <v>19</v>
      </c>
      <c r="E42" s="12" t="s">
        <v>19</v>
      </c>
      <c r="F42" s="12" t="s">
        <v>19</v>
      </c>
      <c r="G42" s="12">
        <v>1</v>
      </c>
      <c r="H42" s="12" t="s">
        <v>19</v>
      </c>
      <c r="I42" s="12" t="s">
        <v>19</v>
      </c>
      <c r="J42" s="12" t="s">
        <v>19</v>
      </c>
      <c r="K42" s="12" t="s">
        <v>20</v>
      </c>
      <c r="L42" s="12" t="s">
        <v>20</v>
      </c>
      <c r="M42" s="12" t="s">
        <v>20</v>
      </c>
      <c r="N42" s="12" t="s">
        <v>20</v>
      </c>
      <c r="O42" s="12" t="s">
        <v>20</v>
      </c>
      <c r="P42" s="12" t="s">
        <v>20</v>
      </c>
      <c r="Q42" s="12" t="s">
        <v>20</v>
      </c>
      <c r="R42" s="12" t="s">
        <v>20</v>
      </c>
      <c r="S42" s="13">
        <v>2002</v>
      </c>
      <c r="T42" s="5">
        <f t="shared" si="4"/>
        <v>7</v>
      </c>
      <c r="U42" s="33">
        <f t="shared" si="3"/>
        <v>0</v>
      </c>
    </row>
    <row r="43" spans="1:21" ht="10.5" customHeight="1" x14ac:dyDescent="0.3">
      <c r="A43" s="11">
        <v>2003</v>
      </c>
      <c r="B43" s="12">
        <v>7</v>
      </c>
      <c r="C43" s="12">
        <v>6</v>
      </c>
      <c r="D43" s="12" t="s">
        <v>19</v>
      </c>
      <c r="E43" s="12" t="s">
        <v>19</v>
      </c>
      <c r="F43" s="12" t="s">
        <v>19</v>
      </c>
      <c r="G43" s="12">
        <v>1</v>
      </c>
      <c r="H43" s="12" t="s">
        <v>19</v>
      </c>
      <c r="I43" s="12" t="s">
        <v>19</v>
      </c>
      <c r="J43" s="12" t="s">
        <v>19</v>
      </c>
      <c r="K43" s="12" t="s">
        <v>20</v>
      </c>
      <c r="L43" s="12" t="s">
        <v>20</v>
      </c>
      <c r="M43" s="12" t="s">
        <v>20</v>
      </c>
      <c r="N43" s="12" t="s">
        <v>20</v>
      </c>
      <c r="O43" s="12" t="s">
        <v>20</v>
      </c>
      <c r="P43" s="12" t="s">
        <v>20</v>
      </c>
      <c r="Q43" s="12" t="s">
        <v>20</v>
      </c>
      <c r="R43" s="12" t="s">
        <v>20</v>
      </c>
      <c r="S43" s="13">
        <v>2003</v>
      </c>
      <c r="T43" s="5">
        <f t="shared" si="4"/>
        <v>7</v>
      </c>
      <c r="U43" s="33">
        <f t="shared" ref="U43:U86" si="5">T43-B43</f>
        <v>0</v>
      </c>
    </row>
    <row r="44" spans="1:21" s="30" customFormat="1" ht="10.5" customHeight="1" x14ac:dyDescent="0.3">
      <c r="A44" s="17">
        <v>2004</v>
      </c>
      <c r="B44" s="15">
        <v>7</v>
      </c>
      <c r="C44" s="15">
        <v>6</v>
      </c>
      <c r="D44" s="15" t="s">
        <v>19</v>
      </c>
      <c r="E44" s="15" t="s">
        <v>19</v>
      </c>
      <c r="F44" s="12" t="s">
        <v>19</v>
      </c>
      <c r="G44" s="15">
        <v>1</v>
      </c>
      <c r="H44" s="12" t="s">
        <v>19</v>
      </c>
      <c r="I44" s="12" t="s">
        <v>19</v>
      </c>
      <c r="J44" s="15" t="s">
        <v>19</v>
      </c>
      <c r="K44" s="12" t="s">
        <v>20</v>
      </c>
      <c r="L44" s="12" t="s">
        <v>20</v>
      </c>
      <c r="M44" s="12" t="s">
        <v>20</v>
      </c>
      <c r="N44" s="12" t="s">
        <v>20</v>
      </c>
      <c r="O44" s="15" t="s">
        <v>20</v>
      </c>
      <c r="P44" s="12" t="s">
        <v>20</v>
      </c>
      <c r="Q44" s="12" t="s">
        <v>20</v>
      </c>
      <c r="R44" s="12" t="s">
        <v>20</v>
      </c>
      <c r="S44" s="17">
        <v>2004</v>
      </c>
      <c r="T44" s="5">
        <f t="shared" si="4"/>
        <v>7</v>
      </c>
      <c r="U44" s="33">
        <f t="shared" si="5"/>
        <v>0</v>
      </c>
    </row>
    <row r="45" spans="1:21" s="30" customFormat="1" ht="10.5" customHeight="1" x14ac:dyDescent="0.3">
      <c r="A45" s="17">
        <v>2005</v>
      </c>
      <c r="B45" s="15">
        <v>7</v>
      </c>
      <c r="C45" s="15">
        <v>6</v>
      </c>
      <c r="D45" s="15" t="s">
        <v>19</v>
      </c>
      <c r="E45" s="15" t="s">
        <v>19</v>
      </c>
      <c r="F45" s="12" t="s">
        <v>19</v>
      </c>
      <c r="G45" s="15">
        <v>1</v>
      </c>
      <c r="H45" s="12" t="s">
        <v>19</v>
      </c>
      <c r="I45" s="12" t="s">
        <v>19</v>
      </c>
      <c r="J45" s="15" t="s">
        <v>19</v>
      </c>
      <c r="K45" s="12" t="s">
        <v>20</v>
      </c>
      <c r="L45" s="12" t="s">
        <v>20</v>
      </c>
      <c r="M45" s="12" t="s">
        <v>20</v>
      </c>
      <c r="N45" s="12" t="s">
        <v>20</v>
      </c>
      <c r="O45" s="15" t="s">
        <v>20</v>
      </c>
      <c r="P45" s="12" t="s">
        <v>20</v>
      </c>
      <c r="Q45" s="12" t="s">
        <v>20</v>
      </c>
      <c r="R45" s="12" t="s">
        <v>20</v>
      </c>
      <c r="S45" s="17">
        <v>2005</v>
      </c>
      <c r="T45" s="5">
        <f>SUM(C45:R45)</f>
        <v>7</v>
      </c>
      <c r="U45" s="33">
        <f>T45-B45</f>
        <v>0</v>
      </c>
    </row>
    <row r="46" spans="1:21" ht="16.5" customHeight="1" x14ac:dyDescent="0.3">
      <c r="A46" s="133" t="s">
        <v>74</v>
      </c>
      <c r="B46" s="133"/>
      <c r="C46" s="133"/>
      <c r="D46" s="133"/>
      <c r="E46" s="133"/>
      <c r="F46" s="133"/>
      <c r="G46" s="133"/>
      <c r="H46" s="133"/>
      <c r="I46" s="133"/>
      <c r="J46" s="136" t="s">
        <v>75</v>
      </c>
      <c r="K46" s="136"/>
      <c r="L46" s="136"/>
      <c r="M46" s="136"/>
      <c r="N46" s="136"/>
      <c r="O46" s="136"/>
      <c r="P46" s="136"/>
      <c r="Q46" s="136"/>
      <c r="R46" s="136"/>
      <c r="S46" s="136"/>
      <c r="T46" s="5">
        <f>SUM(C46:R46)</f>
        <v>0</v>
      </c>
      <c r="U46" s="33">
        <f>T46-B46</f>
        <v>0</v>
      </c>
    </row>
    <row r="47" spans="1:21" ht="10.5" hidden="1" customHeight="1" x14ac:dyDescent="0.3">
      <c r="A47" s="11">
        <v>1994</v>
      </c>
      <c r="B47" s="12">
        <v>3682</v>
      </c>
      <c r="C47" s="12">
        <v>1491</v>
      </c>
      <c r="D47" s="12">
        <v>337</v>
      </c>
      <c r="E47" s="12">
        <v>234</v>
      </c>
      <c r="F47" s="12">
        <v>139</v>
      </c>
      <c r="G47" s="12">
        <v>108</v>
      </c>
      <c r="H47" s="12">
        <v>108</v>
      </c>
      <c r="I47" s="12" t="s">
        <v>19</v>
      </c>
      <c r="J47" s="12">
        <v>443</v>
      </c>
      <c r="K47" s="12">
        <v>62</v>
      </c>
      <c r="L47" s="12">
        <v>72</v>
      </c>
      <c r="M47" s="12">
        <v>65</v>
      </c>
      <c r="N47" s="12">
        <v>111</v>
      </c>
      <c r="O47" s="12">
        <v>78</v>
      </c>
      <c r="P47" s="12">
        <v>120</v>
      </c>
      <c r="Q47" s="12">
        <v>263</v>
      </c>
      <c r="R47" s="12">
        <v>51</v>
      </c>
      <c r="S47" s="13">
        <v>1994</v>
      </c>
    </row>
    <row r="48" spans="1:21" ht="10.5" hidden="1" customHeight="1" x14ac:dyDescent="0.3">
      <c r="A48" s="11">
        <v>1995</v>
      </c>
      <c r="B48" s="12">
        <v>4557</v>
      </c>
      <c r="C48" s="12">
        <v>1793</v>
      </c>
      <c r="D48" s="12">
        <v>405</v>
      </c>
      <c r="E48" s="12">
        <v>285</v>
      </c>
      <c r="F48" s="12">
        <v>178</v>
      </c>
      <c r="G48" s="12">
        <v>132</v>
      </c>
      <c r="H48" s="12">
        <v>130</v>
      </c>
      <c r="I48" s="12" t="s">
        <v>19</v>
      </c>
      <c r="J48" s="12">
        <v>599</v>
      </c>
      <c r="K48" s="12">
        <v>88</v>
      </c>
      <c r="L48" s="12">
        <v>90</v>
      </c>
      <c r="M48" s="12">
        <v>88</v>
      </c>
      <c r="N48" s="12">
        <v>134</v>
      </c>
      <c r="O48" s="12">
        <v>110</v>
      </c>
      <c r="P48" s="12">
        <v>153</v>
      </c>
      <c r="Q48" s="12">
        <v>315</v>
      </c>
      <c r="R48" s="12">
        <v>57</v>
      </c>
      <c r="S48" s="13">
        <v>1995</v>
      </c>
    </row>
    <row r="49" spans="1:21" ht="10.5" hidden="1" customHeight="1" x14ac:dyDescent="0.3">
      <c r="A49" s="11">
        <v>1996</v>
      </c>
      <c r="B49" s="12">
        <v>5105</v>
      </c>
      <c r="C49" s="12">
        <v>1955</v>
      </c>
      <c r="D49" s="12">
        <v>457</v>
      </c>
      <c r="E49" s="12">
        <v>315</v>
      </c>
      <c r="F49" s="12">
        <v>201</v>
      </c>
      <c r="G49" s="12">
        <v>149</v>
      </c>
      <c r="H49" s="12">
        <v>151</v>
      </c>
      <c r="I49" s="12" t="s">
        <v>19</v>
      </c>
      <c r="J49" s="12">
        <v>731</v>
      </c>
      <c r="K49" s="12">
        <v>101</v>
      </c>
      <c r="L49" s="12">
        <v>107</v>
      </c>
      <c r="M49" s="12">
        <v>95</v>
      </c>
      <c r="N49" s="12">
        <v>150</v>
      </c>
      <c r="O49" s="12">
        <v>121</v>
      </c>
      <c r="P49" s="12">
        <v>161</v>
      </c>
      <c r="Q49" s="12">
        <v>351</v>
      </c>
      <c r="R49" s="12">
        <v>60</v>
      </c>
      <c r="S49" s="13">
        <v>1996</v>
      </c>
    </row>
    <row r="50" spans="1:21" ht="10.5" hidden="1" customHeight="1" x14ac:dyDescent="0.3">
      <c r="A50" s="11">
        <v>1997</v>
      </c>
      <c r="B50" s="12">
        <v>5988</v>
      </c>
      <c r="C50" s="12">
        <v>2244</v>
      </c>
      <c r="D50" s="12">
        <v>527</v>
      </c>
      <c r="E50" s="12">
        <v>352</v>
      </c>
      <c r="F50" s="12">
        <v>256</v>
      </c>
      <c r="G50" s="12">
        <v>175</v>
      </c>
      <c r="H50" s="12">
        <v>183</v>
      </c>
      <c r="I50" s="12">
        <v>119</v>
      </c>
      <c r="J50" s="12">
        <v>913</v>
      </c>
      <c r="K50" s="12">
        <v>117</v>
      </c>
      <c r="L50" s="12">
        <v>133</v>
      </c>
      <c r="M50" s="12">
        <v>119</v>
      </c>
      <c r="N50" s="12">
        <v>176</v>
      </c>
      <c r="O50" s="12">
        <v>133</v>
      </c>
      <c r="P50" s="12">
        <v>192</v>
      </c>
      <c r="Q50" s="12">
        <v>280</v>
      </c>
      <c r="R50" s="12">
        <v>69</v>
      </c>
      <c r="S50" s="13">
        <v>1997</v>
      </c>
      <c r="T50" s="5">
        <f>SUM(C50:R50)</f>
        <v>5988</v>
      </c>
    </row>
    <row r="51" spans="1:21" ht="10.5" hidden="1" customHeight="1" x14ac:dyDescent="0.3">
      <c r="A51" s="11">
        <v>1998</v>
      </c>
      <c r="B51" s="12">
        <v>5103</v>
      </c>
      <c r="C51" s="12">
        <v>2005</v>
      </c>
      <c r="D51" s="12">
        <v>463</v>
      </c>
      <c r="E51" s="12">
        <v>291</v>
      </c>
      <c r="F51" s="12">
        <v>203</v>
      </c>
      <c r="G51" s="12">
        <v>158</v>
      </c>
      <c r="H51" s="12">
        <v>136</v>
      </c>
      <c r="I51" s="12">
        <v>95</v>
      </c>
      <c r="J51" s="12">
        <v>732</v>
      </c>
      <c r="K51" s="12">
        <v>107</v>
      </c>
      <c r="L51" s="12">
        <v>116</v>
      </c>
      <c r="M51" s="12">
        <v>86</v>
      </c>
      <c r="N51" s="12">
        <v>145</v>
      </c>
      <c r="O51" s="12">
        <v>119</v>
      </c>
      <c r="P51" s="12">
        <v>149</v>
      </c>
      <c r="Q51" s="12">
        <v>235</v>
      </c>
      <c r="R51" s="12">
        <v>63</v>
      </c>
      <c r="S51" s="13">
        <v>1998</v>
      </c>
      <c r="T51" s="5">
        <f>SUM(C51:R51)</f>
        <v>5103</v>
      </c>
      <c r="U51" s="33">
        <f t="shared" ref="U51:U59" si="6">T51-B51</f>
        <v>0</v>
      </c>
    </row>
    <row r="52" spans="1:21" ht="10.5" customHeight="1" x14ac:dyDescent="0.3">
      <c r="A52" s="11">
        <v>1999</v>
      </c>
      <c r="B52" s="12">
        <v>4853</v>
      </c>
      <c r="C52" s="12">
        <v>1957</v>
      </c>
      <c r="D52" s="12">
        <v>431</v>
      </c>
      <c r="E52" s="12">
        <v>280</v>
      </c>
      <c r="F52" s="12">
        <v>187</v>
      </c>
      <c r="G52" s="12">
        <v>152</v>
      </c>
      <c r="H52" s="12">
        <v>136</v>
      </c>
      <c r="I52" s="12">
        <v>89</v>
      </c>
      <c r="J52" s="12">
        <v>687</v>
      </c>
      <c r="K52" s="12">
        <v>85</v>
      </c>
      <c r="L52" s="12">
        <v>94</v>
      </c>
      <c r="M52" s="12">
        <v>87</v>
      </c>
      <c r="N52" s="12">
        <v>135</v>
      </c>
      <c r="O52" s="12">
        <v>112</v>
      </c>
      <c r="P52" s="12">
        <v>143</v>
      </c>
      <c r="Q52" s="12">
        <v>223</v>
      </c>
      <c r="R52" s="12">
        <v>55</v>
      </c>
      <c r="S52" s="13">
        <v>1999</v>
      </c>
      <c r="T52" s="5">
        <f>SUM(C52:R52)</f>
        <v>4853</v>
      </c>
      <c r="U52" s="33">
        <f t="shared" si="6"/>
        <v>0</v>
      </c>
    </row>
    <row r="53" spans="1:21" ht="10.5" customHeight="1" x14ac:dyDescent="0.3">
      <c r="A53" s="11">
        <v>2000</v>
      </c>
      <c r="B53" s="12">
        <v>4787</v>
      </c>
      <c r="C53" s="12">
        <v>1928</v>
      </c>
      <c r="D53" s="12">
        <v>424</v>
      </c>
      <c r="E53" s="12">
        <v>276</v>
      </c>
      <c r="F53" s="12">
        <v>184</v>
      </c>
      <c r="G53" s="12">
        <v>142</v>
      </c>
      <c r="H53" s="12">
        <v>139</v>
      </c>
      <c r="I53" s="12">
        <v>89</v>
      </c>
      <c r="J53" s="12">
        <v>690</v>
      </c>
      <c r="K53" s="12">
        <v>83</v>
      </c>
      <c r="L53" s="12">
        <v>88</v>
      </c>
      <c r="M53" s="12">
        <v>87</v>
      </c>
      <c r="N53" s="12">
        <v>137</v>
      </c>
      <c r="O53" s="12">
        <v>105</v>
      </c>
      <c r="P53" s="12">
        <v>142</v>
      </c>
      <c r="Q53" s="12">
        <v>220</v>
      </c>
      <c r="R53" s="12">
        <v>53</v>
      </c>
      <c r="S53" s="13">
        <v>2000</v>
      </c>
      <c r="T53" s="5">
        <f>SUM(C53:R53)</f>
        <v>4787</v>
      </c>
      <c r="U53" s="33">
        <f t="shared" si="6"/>
        <v>0</v>
      </c>
    </row>
    <row r="54" spans="1:21" ht="10.5" customHeight="1" x14ac:dyDescent="0.3">
      <c r="A54" s="11">
        <v>2001</v>
      </c>
      <c r="B54" s="12">
        <f>4763-1</f>
        <v>4762</v>
      </c>
      <c r="C54" s="12">
        <v>1922</v>
      </c>
      <c r="D54" s="12">
        <v>431</v>
      </c>
      <c r="E54" s="12">
        <v>267</v>
      </c>
      <c r="F54" s="12">
        <v>184</v>
      </c>
      <c r="G54" s="12">
        <v>143</v>
      </c>
      <c r="H54" s="12">
        <v>135</v>
      </c>
      <c r="I54" s="12">
        <v>84</v>
      </c>
      <c r="J54" s="12">
        <v>709</v>
      </c>
      <c r="K54" s="12">
        <v>82</v>
      </c>
      <c r="L54" s="12">
        <v>80</v>
      </c>
      <c r="M54" s="12">
        <v>90</v>
      </c>
      <c r="N54" s="12">
        <f>134-1</f>
        <v>133</v>
      </c>
      <c r="O54" s="12">
        <v>99</v>
      </c>
      <c r="P54" s="12">
        <v>144</v>
      </c>
      <c r="Q54" s="12">
        <v>207</v>
      </c>
      <c r="R54" s="12">
        <v>52</v>
      </c>
      <c r="S54" s="13">
        <v>2001</v>
      </c>
      <c r="T54" s="5">
        <f t="shared" ref="T54:T59" si="7">SUM(C54:R54)</f>
        <v>4762</v>
      </c>
      <c r="U54" s="33">
        <f t="shared" si="6"/>
        <v>0</v>
      </c>
    </row>
    <row r="55" spans="1:21" ht="4.5" customHeight="1" x14ac:dyDescent="0.3">
      <c r="A55" s="11" t="s">
        <v>1</v>
      </c>
      <c r="B55" s="12" t="s">
        <v>2</v>
      </c>
      <c r="C55" s="12" t="s">
        <v>3</v>
      </c>
      <c r="D55" s="12" t="s">
        <v>3</v>
      </c>
      <c r="E55" s="12" t="s">
        <v>3</v>
      </c>
      <c r="F55" s="12" t="s">
        <v>3</v>
      </c>
      <c r="G55" s="12" t="s">
        <v>3</v>
      </c>
      <c r="H55" s="12" t="s">
        <v>3</v>
      </c>
      <c r="I55" s="12" t="s">
        <v>3</v>
      </c>
      <c r="J55" s="12" t="s">
        <v>0</v>
      </c>
      <c r="K55" s="12" t="s">
        <v>0</v>
      </c>
      <c r="L55" s="12" t="s">
        <v>0</v>
      </c>
      <c r="M55" s="12" t="s">
        <v>0</v>
      </c>
      <c r="N55" s="12" t="s">
        <v>0</v>
      </c>
      <c r="O55" s="12" t="s">
        <v>0</v>
      </c>
      <c r="P55" s="12" t="s">
        <v>0</v>
      </c>
      <c r="Q55" s="12" t="s">
        <v>0</v>
      </c>
      <c r="R55" s="12" t="s">
        <v>0</v>
      </c>
      <c r="S55" s="13"/>
      <c r="T55" s="5">
        <f t="shared" si="7"/>
        <v>0</v>
      </c>
      <c r="U55" s="33" t="e">
        <f t="shared" si="6"/>
        <v>#VALUE!</v>
      </c>
    </row>
    <row r="56" spans="1:21" s="4" customFormat="1" ht="10.5" customHeight="1" x14ac:dyDescent="0.3">
      <c r="A56" s="14">
        <v>2002</v>
      </c>
      <c r="B56" s="12">
        <f>SUM(C56:R56)</f>
        <v>4947</v>
      </c>
      <c r="C56" s="15">
        <v>2011</v>
      </c>
      <c r="D56" s="15">
        <v>441</v>
      </c>
      <c r="E56" s="15">
        <v>281</v>
      </c>
      <c r="F56" s="15">
        <v>192</v>
      </c>
      <c r="G56" s="15">
        <v>151</v>
      </c>
      <c r="H56" s="15">
        <v>144</v>
      </c>
      <c r="I56" s="15">
        <v>89</v>
      </c>
      <c r="J56" s="15">
        <v>752</v>
      </c>
      <c r="K56" s="15">
        <v>80</v>
      </c>
      <c r="L56" s="15">
        <v>82</v>
      </c>
      <c r="M56" s="15">
        <v>88</v>
      </c>
      <c r="N56" s="15">
        <v>136</v>
      </c>
      <c r="O56" s="15">
        <v>93</v>
      </c>
      <c r="P56" s="15">
        <v>144</v>
      </c>
      <c r="Q56" s="15">
        <v>207</v>
      </c>
      <c r="R56" s="15">
        <v>56</v>
      </c>
      <c r="S56" s="16">
        <v>2002</v>
      </c>
      <c r="T56" s="5">
        <f t="shared" si="7"/>
        <v>4947</v>
      </c>
      <c r="U56" s="33">
        <f t="shared" si="6"/>
        <v>0</v>
      </c>
    </row>
    <row r="57" spans="1:21" s="4" customFormat="1" ht="10.5" customHeight="1" x14ac:dyDescent="0.3">
      <c r="A57" s="14">
        <v>2003</v>
      </c>
      <c r="B57" s="12">
        <v>5004</v>
      </c>
      <c r="C57" s="15">
        <v>2003</v>
      </c>
      <c r="D57" s="15">
        <v>455</v>
      </c>
      <c r="E57" s="15">
        <v>279</v>
      </c>
      <c r="F57" s="15">
        <v>192</v>
      </c>
      <c r="G57" s="15">
        <v>150</v>
      </c>
      <c r="H57" s="15">
        <v>142</v>
      </c>
      <c r="I57" s="15">
        <v>90</v>
      </c>
      <c r="J57" s="15">
        <v>808</v>
      </c>
      <c r="K57" s="15">
        <v>74</v>
      </c>
      <c r="L57" s="15">
        <v>79</v>
      </c>
      <c r="M57" s="15">
        <v>86</v>
      </c>
      <c r="N57" s="15">
        <v>136</v>
      </c>
      <c r="O57" s="15">
        <v>94</v>
      </c>
      <c r="P57" s="15">
        <v>142</v>
      </c>
      <c r="Q57" s="15">
        <v>219</v>
      </c>
      <c r="R57" s="15">
        <v>55</v>
      </c>
      <c r="S57" s="16">
        <v>2003</v>
      </c>
      <c r="T57" s="5">
        <f t="shared" si="7"/>
        <v>5004</v>
      </c>
      <c r="U57" s="33">
        <f t="shared" si="6"/>
        <v>0</v>
      </c>
    </row>
    <row r="58" spans="1:21" s="30" customFormat="1" ht="10.5" customHeight="1" x14ac:dyDescent="0.3">
      <c r="A58" s="17">
        <v>2004</v>
      </c>
      <c r="B58" s="15">
        <v>4993</v>
      </c>
      <c r="C58" s="15">
        <v>2016</v>
      </c>
      <c r="D58" s="15">
        <v>454</v>
      </c>
      <c r="E58" s="15">
        <v>272</v>
      </c>
      <c r="F58" s="15">
        <v>196</v>
      </c>
      <c r="G58" s="15">
        <v>150</v>
      </c>
      <c r="H58" s="15">
        <v>143</v>
      </c>
      <c r="I58" s="15">
        <v>87</v>
      </c>
      <c r="J58" s="15">
        <v>822</v>
      </c>
      <c r="K58" s="15">
        <v>69</v>
      </c>
      <c r="L58" s="15">
        <v>70</v>
      </c>
      <c r="M58" s="15">
        <v>88</v>
      </c>
      <c r="N58" s="15">
        <v>132</v>
      </c>
      <c r="O58" s="15">
        <v>91</v>
      </c>
      <c r="P58" s="15">
        <v>143</v>
      </c>
      <c r="Q58" s="15">
        <v>208</v>
      </c>
      <c r="R58" s="15">
        <v>52</v>
      </c>
      <c r="S58" s="17">
        <v>2004</v>
      </c>
      <c r="T58" s="5">
        <f t="shared" si="7"/>
        <v>4993</v>
      </c>
      <c r="U58" s="33">
        <f t="shared" si="6"/>
        <v>0</v>
      </c>
    </row>
    <row r="59" spans="1:21" s="30" customFormat="1" ht="10.5" customHeight="1" x14ac:dyDescent="0.3">
      <c r="A59" s="17">
        <v>2005</v>
      </c>
      <c r="B59" s="15">
        <f>4993+876</f>
        <v>5869</v>
      </c>
      <c r="C59" s="15">
        <f>2016+375</f>
        <v>2391</v>
      </c>
      <c r="D59" s="15">
        <f>454+56</f>
        <v>510</v>
      </c>
      <c r="E59" s="15">
        <f>272+40</f>
        <v>312</v>
      </c>
      <c r="F59" s="15">
        <f>196+23</f>
        <v>219</v>
      </c>
      <c r="G59" s="15">
        <f>150+28</f>
        <v>178</v>
      </c>
      <c r="H59" s="15">
        <f>143+26</f>
        <v>169</v>
      </c>
      <c r="I59" s="15">
        <f>87+23</f>
        <v>110</v>
      </c>
      <c r="J59" s="15">
        <f>822+128</f>
        <v>950</v>
      </c>
      <c r="K59" s="15">
        <f>69+21</f>
        <v>90</v>
      </c>
      <c r="L59" s="15">
        <f>70+18</f>
        <v>88</v>
      </c>
      <c r="M59" s="15">
        <f>88+20</f>
        <v>108</v>
      </c>
      <c r="N59" s="15">
        <f>132+23</f>
        <v>155</v>
      </c>
      <c r="O59" s="15">
        <f>91+20</f>
        <v>111</v>
      </c>
      <c r="P59" s="15">
        <f>143+31</f>
        <v>174</v>
      </c>
      <c r="Q59" s="15">
        <f>208+33</f>
        <v>241</v>
      </c>
      <c r="R59" s="15">
        <f>52+11</f>
        <v>63</v>
      </c>
      <c r="S59" s="17">
        <v>2005</v>
      </c>
      <c r="T59" s="5">
        <f t="shared" si="7"/>
        <v>5869</v>
      </c>
      <c r="U59" s="33">
        <f t="shared" si="6"/>
        <v>0</v>
      </c>
    </row>
    <row r="60" spans="1:21" ht="16.5" customHeight="1" x14ac:dyDescent="0.3">
      <c r="A60" s="133" t="s">
        <v>76</v>
      </c>
      <c r="B60" s="133"/>
      <c r="C60" s="133"/>
      <c r="D60" s="133"/>
      <c r="E60" s="133"/>
      <c r="F60" s="133"/>
      <c r="G60" s="133"/>
      <c r="H60" s="133"/>
      <c r="I60" s="133"/>
      <c r="J60" s="136" t="s">
        <v>76</v>
      </c>
      <c r="K60" s="136"/>
      <c r="L60" s="136"/>
      <c r="M60" s="136"/>
      <c r="N60" s="136"/>
      <c r="O60" s="136"/>
      <c r="P60" s="136"/>
      <c r="Q60" s="136"/>
      <c r="R60" s="136"/>
      <c r="S60" s="136"/>
      <c r="T60" s="5">
        <f t="shared" si="4"/>
        <v>0</v>
      </c>
      <c r="U60" s="33">
        <f t="shared" si="5"/>
        <v>0</v>
      </c>
    </row>
    <row r="61" spans="1:21" ht="10.5" hidden="1" customHeight="1" x14ac:dyDescent="0.3">
      <c r="A61" s="11">
        <v>1994</v>
      </c>
      <c r="B61" s="12">
        <v>195</v>
      </c>
      <c r="C61" s="12">
        <v>78</v>
      </c>
      <c r="D61" s="12">
        <v>21</v>
      </c>
      <c r="E61" s="12">
        <v>17</v>
      </c>
      <c r="F61" s="12">
        <v>7</v>
      </c>
      <c r="G61" s="12">
        <v>10</v>
      </c>
      <c r="H61" s="12">
        <v>9</v>
      </c>
      <c r="I61" s="12" t="s">
        <v>19</v>
      </c>
      <c r="J61" s="12">
        <v>16</v>
      </c>
      <c r="K61" s="12">
        <v>4</v>
      </c>
      <c r="L61" s="12">
        <v>6</v>
      </c>
      <c r="M61" s="12">
        <v>3</v>
      </c>
      <c r="N61" s="12">
        <v>7</v>
      </c>
      <c r="O61" s="12">
        <v>3</v>
      </c>
      <c r="P61" s="12">
        <v>4</v>
      </c>
      <c r="Q61" s="12">
        <v>8</v>
      </c>
      <c r="R61" s="12">
        <v>2</v>
      </c>
      <c r="S61" s="13">
        <v>1994</v>
      </c>
      <c r="T61" s="5">
        <f t="shared" si="4"/>
        <v>195</v>
      </c>
      <c r="U61" s="33">
        <f t="shared" si="5"/>
        <v>0</v>
      </c>
    </row>
    <row r="62" spans="1:21" ht="10.5" hidden="1" customHeight="1" x14ac:dyDescent="0.3">
      <c r="A62" s="11">
        <v>1995</v>
      </c>
      <c r="B62" s="12">
        <v>200</v>
      </c>
      <c r="C62" s="12">
        <v>76</v>
      </c>
      <c r="D62" s="12">
        <v>20</v>
      </c>
      <c r="E62" s="12">
        <v>18</v>
      </c>
      <c r="F62" s="12">
        <v>9</v>
      </c>
      <c r="G62" s="12">
        <v>10</v>
      </c>
      <c r="H62" s="12">
        <v>10</v>
      </c>
      <c r="I62" s="12" t="s">
        <v>19</v>
      </c>
      <c r="J62" s="12">
        <v>18</v>
      </c>
      <c r="K62" s="12">
        <v>4</v>
      </c>
      <c r="L62" s="12">
        <v>6</v>
      </c>
      <c r="M62" s="12">
        <v>4</v>
      </c>
      <c r="N62" s="12">
        <v>7</v>
      </c>
      <c r="O62" s="12">
        <v>3</v>
      </c>
      <c r="P62" s="12">
        <v>4</v>
      </c>
      <c r="Q62" s="12">
        <v>9</v>
      </c>
      <c r="R62" s="12">
        <v>2</v>
      </c>
      <c r="S62" s="13">
        <v>1995</v>
      </c>
      <c r="T62" s="5">
        <f t="shared" si="4"/>
        <v>200</v>
      </c>
      <c r="U62" s="33">
        <f t="shared" si="5"/>
        <v>0</v>
      </c>
    </row>
    <row r="63" spans="1:21" ht="10.5" hidden="1" customHeight="1" x14ac:dyDescent="0.3">
      <c r="A63" s="11">
        <v>1996</v>
      </c>
      <c r="B63" s="12">
        <v>259</v>
      </c>
      <c r="C63" s="12">
        <v>110</v>
      </c>
      <c r="D63" s="12">
        <v>23</v>
      </c>
      <c r="E63" s="12">
        <v>21</v>
      </c>
      <c r="F63" s="12">
        <v>10</v>
      </c>
      <c r="G63" s="12">
        <v>11</v>
      </c>
      <c r="H63" s="12">
        <v>11</v>
      </c>
      <c r="I63" s="12" t="s">
        <v>19</v>
      </c>
      <c r="J63" s="12">
        <v>23</v>
      </c>
      <c r="K63" s="12">
        <v>5</v>
      </c>
      <c r="L63" s="12">
        <v>6</v>
      </c>
      <c r="M63" s="12">
        <v>6</v>
      </c>
      <c r="N63" s="12">
        <v>8</v>
      </c>
      <c r="O63" s="12">
        <v>3</v>
      </c>
      <c r="P63" s="12">
        <v>7</v>
      </c>
      <c r="Q63" s="12">
        <v>13</v>
      </c>
      <c r="R63" s="12">
        <v>2</v>
      </c>
      <c r="S63" s="13">
        <v>1996</v>
      </c>
      <c r="T63" s="5">
        <f t="shared" si="4"/>
        <v>259</v>
      </c>
      <c r="U63" s="33">
        <f t="shared" si="5"/>
        <v>0</v>
      </c>
    </row>
    <row r="64" spans="1:21" ht="10.5" hidden="1" customHeight="1" x14ac:dyDescent="0.3">
      <c r="A64" s="11">
        <v>1997</v>
      </c>
      <c r="B64" s="12">
        <v>350</v>
      </c>
      <c r="C64" s="12">
        <v>143</v>
      </c>
      <c r="D64" s="12">
        <v>29</v>
      </c>
      <c r="E64" s="12">
        <v>27</v>
      </c>
      <c r="F64" s="12">
        <v>18</v>
      </c>
      <c r="G64" s="12">
        <v>14</v>
      </c>
      <c r="H64" s="12">
        <v>13</v>
      </c>
      <c r="I64" s="12">
        <v>6</v>
      </c>
      <c r="J64" s="12">
        <v>43</v>
      </c>
      <c r="K64" s="12">
        <v>5</v>
      </c>
      <c r="L64" s="12">
        <v>6</v>
      </c>
      <c r="M64" s="12">
        <v>6</v>
      </c>
      <c r="N64" s="12">
        <v>9</v>
      </c>
      <c r="O64" s="12">
        <v>6</v>
      </c>
      <c r="P64" s="12">
        <v>8</v>
      </c>
      <c r="Q64" s="12">
        <v>14</v>
      </c>
      <c r="R64" s="12">
        <v>3</v>
      </c>
      <c r="S64" s="13">
        <v>1997</v>
      </c>
      <c r="T64" s="5">
        <f t="shared" si="4"/>
        <v>350</v>
      </c>
      <c r="U64" s="33">
        <f t="shared" si="5"/>
        <v>0</v>
      </c>
    </row>
    <row r="65" spans="1:21" hidden="1" x14ac:dyDescent="0.3">
      <c r="A65" s="11">
        <v>1998</v>
      </c>
      <c r="B65" s="12">
        <v>234</v>
      </c>
      <c r="C65" s="12">
        <v>108</v>
      </c>
      <c r="D65" s="12">
        <v>28</v>
      </c>
      <c r="E65" s="12">
        <v>10</v>
      </c>
      <c r="F65" s="12">
        <v>7</v>
      </c>
      <c r="G65" s="12">
        <v>5</v>
      </c>
      <c r="H65" s="12">
        <v>13</v>
      </c>
      <c r="I65" s="12">
        <v>4</v>
      </c>
      <c r="J65" s="12">
        <v>24</v>
      </c>
      <c r="K65" s="12">
        <v>5</v>
      </c>
      <c r="L65" s="12">
        <v>7</v>
      </c>
      <c r="M65" s="12">
        <v>9</v>
      </c>
      <c r="N65" s="12">
        <v>3</v>
      </c>
      <c r="O65" s="12">
        <v>1</v>
      </c>
      <c r="P65" s="12">
        <v>3</v>
      </c>
      <c r="Q65" s="12">
        <v>6</v>
      </c>
      <c r="R65" s="12">
        <v>1</v>
      </c>
      <c r="S65" s="13">
        <v>1998</v>
      </c>
      <c r="T65" s="5">
        <f t="shared" si="4"/>
        <v>234</v>
      </c>
      <c r="U65" s="33">
        <f t="shared" si="5"/>
        <v>0</v>
      </c>
    </row>
    <row r="66" spans="1:21" ht="11.25" customHeight="1" x14ac:dyDescent="0.3">
      <c r="A66" s="11">
        <v>1999</v>
      </c>
      <c r="B66" s="12">
        <v>209</v>
      </c>
      <c r="C66" s="12">
        <v>100</v>
      </c>
      <c r="D66" s="12">
        <v>12</v>
      </c>
      <c r="E66" s="12">
        <v>10</v>
      </c>
      <c r="F66" s="12">
        <v>7</v>
      </c>
      <c r="G66" s="12">
        <v>5</v>
      </c>
      <c r="H66" s="12">
        <v>15</v>
      </c>
      <c r="I66" s="12">
        <v>2</v>
      </c>
      <c r="J66" s="12">
        <v>25</v>
      </c>
      <c r="K66" s="12">
        <v>5</v>
      </c>
      <c r="L66" s="12">
        <v>7</v>
      </c>
      <c r="M66" s="12">
        <v>8</v>
      </c>
      <c r="N66" s="12">
        <v>3</v>
      </c>
      <c r="O66" s="12">
        <v>2</v>
      </c>
      <c r="P66" s="12">
        <v>3</v>
      </c>
      <c r="Q66" s="12">
        <v>4</v>
      </c>
      <c r="R66" s="12">
        <v>1</v>
      </c>
      <c r="S66" s="13">
        <v>1999</v>
      </c>
      <c r="T66" s="5">
        <f t="shared" si="4"/>
        <v>209</v>
      </c>
      <c r="U66" s="33">
        <f t="shared" si="5"/>
        <v>0</v>
      </c>
    </row>
    <row r="67" spans="1:21" s="4" customFormat="1" ht="10.5" customHeight="1" x14ac:dyDescent="0.3">
      <c r="A67" s="14">
        <v>2000</v>
      </c>
      <c r="B67" s="15">
        <v>27</v>
      </c>
      <c r="C67" s="15">
        <v>28</v>
      </c>
      <c r="D67" s="21" t="s">
        <v>21</v>
      </c>
      <c r="E67" s="21" t="s">
        <v>21</v>
      </c>
      <c r="F67" s="21" t="s">
        <v>21</v>
      </c>
      <c r="G67" s="21" t="s">
        <v>21</v>
      </c>
      <c r="H67" s="15">
        <v>1</v>
      </c>
      <c r="I67" s="21" t="s">
        <v>21</v>
      </c>
      <c r="J67" s="21" t="s">
        <v>22</v>
      </c>
      <c r="K67" s="21" t="s">
        <v>22</v>
      </c>
      <c r="L67" s="21" t="s">
        <v>22</v>
      </c>
      <c r="M67" s="21" t="s">
        <v>22</v>
      </c>
      <c r="N67" s="21" t="s">
        <v>22</v>
      </c>
      <c r="O67" s="21" t="s">
        <v>22</v>
      </c>
      <c r="P67" s="21" t="s">
        <v>22</v>
      </c>
      <c r="Q67" s="21" t="s">
        <v>22</v>
      </c>
      <c r="R67" s="21" t="s">
        <v>22</v>
      </c>
      <c r="S67" s="16">
        <v>2000</v>
      </c>
      <c r="T67" s="5">
        <f t="shared" si="4"/>
        <v>29</v>
      </c>
      <c r="U67" s="33">
        <f t="shared" si="5"/>
        <v>2</v>
      </c>
    </row>
    <row r="68" spans="1:21" s="4" customFormat="1" ht="10.5" customHeight="1" x14ac:dyDescent="0.3">
      <c r="A68" s="14">
        <v>2001</v>
      </c>
      <c r="B68" s="15">
        <v>30</v>
      </c>
      <c r="C68" s="15">
        <v>29</v>
      </c>
      <c r="D68" s="21" t="s">
        <v>21</v>
      </c>
      <c r="E68" s="21" t="s">
        <v>21</v>
      </c>
      <c r="F68" s="21" t="s">
        <v>21</v>
      </c>
      <c r="G68" s="21" t="s">
        <v>21</v>
      </c>
      <c r="H68" s="15">
        <v>1</v>
      </c>
      <c r="I68" s="21" t="s">
        <v>21</v>
      </c>
      <c r="J68" s="21" t="s">
        <v>22</v>
      </c>
      <c r="K68" s="21" t="s">
        <v>22</v>
      </c>
      <c r="L68" s="21" t="s">
        <v>22</v>
      </c>
      <c r="M68" s="21" t="s">
        <v>22</v>
      </c>
      <c r="N68" s="21" t="s">
        <v>22</v>
      </c>
      <c r="O68" s="21" t="s">
        <v>22</v>
      </c>
      <c r="P68" s="21" t="s">
        <v>22</v>
      </c>
      <c r="Q68" s="21" t="s">
        <v>22</v>
      </c>
      <c r="R68" s="21" t="s">
        <v>22</v>
      </c>
      <c r="S68" s="16">
        <v>2001</v>
      </c>
      <c r="T68" s="5">
        <f>SUM(C68:R68)</f>
        <v>30</v>
      </c>
      <c r="U68" s="33">
        <f>T68-B68</f>
        <v>0</v>
      </c>
    </row>
    <row r="69" spans="1:21" ht="6" customHeight="1" x14ac:dyDescent="0.3">
      <c r="A69" s="11" t="s">
        <v>1</v>
      </c>
      <c r="B69" s="12" t="s">
        <v>2</v>
      </c>
      <c r="C69" s="12" t="s">
        <v>3</v>
      </c>
      <c r="D69" s="12" t="s">
        <v>3</v>
      </c>
      <c r="E69" s="12" t="s">
        <v>3</v>
      </c>
      <c r="F69" s="12" t="s">
        <v>3</v>
      </c>
      <c r="G69" s="12" t="s">
        <v>3</v>
      </c>
      <c r="H69" s="12" t="s">
        <v>3</v>
      </c>
      <c r="I69" s="12" t="s">
        <v>3</v>
      </c>
      <c r="J69" s="12" t="s">
        <v>0</v>
      </c>
      <c r="K69" s="12" t="s">
        <v>0</v>
      </c>
      <c r="L69" s="12" t="s">
        <v>0</v>
      </c>
      <c r="M69" s="12" t="s">
        <v>0</v>
      </c>
      <c r="N69" s="12" t="s">
        <v>0</v>
      </c>
      <c r="O69" s="12" t="s">
        <v>0</v>
      </c>
      <c r="P69" s="12" t="s">
        <v>0</v>
      </c>
      <c r="Q69" s="12" t="s">
        <v>0</v>
      </c>
      <c r="R69" s="12" t="s">
        <v>0</v>
      </c>
      <c r="S69" s="13"/>
      <c r="T69" s="5">
        <f t="shared" si="4"/>
        <v>0</v>
      </c>
      <c r="U69" s="33" t="e">
        <f t="shared" si="5"/>
        <v>#VALUE!</v>
      </c>
    </row>
    <row r="70" spans="1:21" s="4" customFormat="1" ht="10.5" customHeight="1" x14ac:dyDescent="0.3">
      <c r="A70" s="14">
        <v>2002</v>
      </c>
      <c r="B70" s="15">
        <v>31</v>
      </c>
      <c r="C70" s="15">
        <v>30</v>
      </c>
      <c r="D70" s="21" t="s">
        <v>21</v>
      </c>
      <c r="E70" s="21" t="s">
        <v>21</v>
      </c>
      <c r="F70" s="21" t="s">
        <v>21</v>
      </c>
      <c r="G70" s="21" t="s">
        <v>21</v>
      </c>
      <c r="H70" s="15">
        <v>1</v>
      </c>
      <c r="I70" s="21" t="s">
        <v>21</v>
      </c>
      <c r="J70" s="21" t="s">
        <v>22</v>
      </c>
      <c r="K70" s="21" t="s">
        <v>22</v>
      </c>
      <c r="L70" s="21" t="s">
        <v>22</v>
      </c>
      <c r="M70" s="21" t="s">
        <v>22</v>
      </c>
      <c r="N70" s="21" t="s">
        <v>22</v>
      </c>
      <c r="O70" s="21" t="s">
        <v>22</v>
      </c>
      <c r="P70" s="21" t="s">
        <v>22</v>
      </c>
      <c r="Q70" s="21" t="s">
        <v>22</v>
      </c>
      <c r="R70" s="21" t="s">
        <v>22</v>
      </c>
      <c r="S70" s="16">
        <v>2002</v>
      </c>
      <c r="T70" s="5">
        <f t="shared" si="4"/>
        <v>31</v>
      </c>
      <c r="U70" s="33">
        <f t="shared" si="5"/>
        <v>0</v>
      </c>
    </row>
    <row r="71" spans="1:21" s="4" customFormat="1" ht="10.5" customHeight="1" x14ac:dyDescent="0.3">
      <c r="A71" s="17">
        <v>2003</v>
      </c>
      <c r="B71" s="18">
        <v>35</v>
      </c>
      <c r="C71" s="18">
        <v>34</v>
      </c>
      <c r="D71" s="21" t="s">
        <v>21</v>
      </c>
      <c r="E71" s="21" t="s">
        <v>21</v>
      </c>
      <c r="F71" s="21" t="s">
        <v>21</v>
      </c>
      <c r="G71" s="21" t="s">
        <v>21</v>
      </c>
      <c r="H71" s="15">
        <v>1</v>
      </c>
      <c r="I71" s="21" t="s">
        <v>21</v>
      </c>
      <c r="J71" s="21" t="s">
        <v>21</v>
      </c>
      <c r="K71" s="21" t="s">
        <v>22</v>
      </c>
      <c r="L71" s="21" t="s">
        <v>22</v>
      </c>
      <c r="M71" s="21" t="s">
        <v>22</v>
      </c>
      <c r="N71" s="21" t="s">
        <v>22</v>
      </c>
      <c r="O71" s="21" t="s">
        <v>22</v>
      </c>
      <c r="P71" s="21" t="s">
        <v>22</v>
      </c>
      <c r="Q71" s="21" t="s">
        <v>22</v>
      </c>
      <c r="R71" s="21" t="s">
        <v>22</v>
      </c>
      <c r="S71" s="17">
        <v>2003</v>
      </c>
      <c r="T71" s="5">
        <f t="shared" si="4"/>
        <v>35</v>
      </c>
      <c r="U71" s="33">
        <f t="shared" si="5"/>
        <v>0</v>
      </c>
    </row>
    <row r="72" spans="1:21" s="30" customFormat="1" ht="10.5" customHeight="1" x14ac:dyDescent="0.3">
      <c r="A72" s="17">
        <v>2004</v>
      </c>
      <c r="B72" s="15">
        <v>34</v>
      </c>
      <c r="C72" s="15">
        <v>33</v>
      </c>
      <c r="D72" s="21" t="s">
        <v>21</v>
      </c>
      <c r="E72" s="21" t="s">
        <v>21</v>
      </c>
      <c r="F72" s="21" t="s">
        <v>21</v>
      </c>
      <c r="G72" s="21" t="s">
        <v>21</v>
      </c>
      <c r="H72" s="15">
        <v>1</v>
      </c>
      <c r="I72" s="21" t="s">
        <v>21</v>
      </c>
      <c r="J72" s="21" t="s">
        <v>21</v>
      </c>
      <c r="K72" s="21" t="s">
        <v>22</v>
      </c>
      <c r="L72" s="21" t="s">
        <v>22</v>
      </c>
      <c r="M72" s="21" t="s">
        <v>22</v>
      </c>
      <c r="N72" s="21" t="s">
        <v>22</v>
      </c>
      <c r="O72" s="21" t="s">
        <v>22</v>
      </c>
      <c r="P72" s="21" t="s">
        <v>22</v>
      </c>
      <c r="Q72" s="21" t="s">
        <v>22</v>
      </c>
      <c r="R72" s="21" t="s">
        <v>22</v>
      </c>
      <c r="S72" s="17">
        <v>2004</v>
      </c>
      <c r="T72" s="5">
        <f t="shared" si="4"/>
        <v>34</v>
      </c>
      <c r="U72" s="33">
        <f t="shared" si="5"/>
        <v>0</v>
      </c>
    </row>
    <row r="73" spans="1:21" s="30" customFormat="1" ht="10.5" customHeight="1" x14ac:dyDescent="0.3">
      <c r="A73" s="17">
        <v>2005</v>
      </c>
      <c r="B73" s="15">
        <v>30</v>
      </c>
      <c r="C73" s="15">
        <v>30</v>
      </c>
      <c r="D73" s="21" t="s">
        <v>21</v>
      </c>
      <c r="E73" s="21" t="s">
        <v>21</v>
      </c>
      <c r="F73" s="21" t="s">
        <v>21</v>
      </c>
      <c r="G73" s="21" t="s">
        <v>21</v>
      </c>
      <c r="H73" s="21" t="s">
        <v>68</v>
      </c>
      <c r="I73" s="21" t="s">
        <v>21</v>
      </c>
      <c r="J73" s="21" t="s">
        <v>21</v>
      </c>
      <c r="K73" s="21" t="s">
        <v>22</v>
      </c>
      <c r="L73" s="21" t="s">
        <v>22</v>
      </c>
      <c r="M73" s="21" t="s">
        <v>22</v>
      </c>
      <c r="N73" s="21" t="s">
        <v>22</v>
      </c>
      <c r="O73" s="21" t="s">
        <v>22</v>
      </c>
      <c r="P73" s="21" t="s">
        <v>22</v>
      </c>
      <c r="Q73" s="21" t="s">
        <v>22</v>
      </c>
      <c r="R73" s="21" t="s">
        <v>22</v>
      </c>
      <c r="S73" s="17">
        <v>2005</v>
      </c>
      <c r="T73" s="5">
        <f>SUM(C73:R73)</f>
        <v>30</v>
      </c>
      <c r="U73" s="33">
        <f>T73-B73</f>
        <v>0</v>
      </c>
    </row>
    <row r="74" spans="1:21" ht="16.5" customHeight="1" x14ac:dyDescent="0.3">
      <c r="A74" s="133" t="s">
        <v>77</v>
      </c>
      <c r="B74" s="133"/>
      <c r="C74" s="133"/>
      <c r="D74" s="133"/>
      <c r="E74" s="133"/>
      <c r="F74" s="133"/>
      <c r="G74" s="133"/>
      <c r="H74" s="133"/>
      <c r="I74" s="133"/>
      <c r="J74" s="133" t="s">
        <v>78</v>
      </c>
      <c r="K74" s="133"/>
      <c r="L74" s="133"/>
      <c r="M74" s="133"/>
      <c r="N74" s="133"/>
      <c r="O74" s="133"/>
      <c r="P74" s="133"/>
      <c r="Q74" s="133"/>
      <c r="R74" s="133"/>
      <c r="S74" s="6"/>
      <c r="T74" s="5">
        <f t="shared" si="4"/>
        <v>0</v>
      </c>
      <c r="U74" s="33">
        <f t="shared" si="5"/>
        <v>0</v>
      </c>
    </row>
    <row r="75" spans="1:21" ht="10.5" hidden="1" customHeight="1" x14ac:dyDescent="0.3">
      <c r="A75" s="11">
        <v>1994</v>
      </c>
      <c r="B75" s="12">
        <v>336</v>
      </c>
      <c r="C75" s="12">
        <v>75</v>
      </c>
      <c r="D75" s="12">
        <v>38</v>
      </c>
      <c r="E75" s="12">
        <v>18</v>
      </c>
      <c r="F75" s="12">
        <v>17</v>
      </c>
      <c r="G75" s="12">
        <v>13</v>
      </c>
      <c r="H75" s="12">
        <v>8</v>
      </c>
      <c r="I75" s="12" t="s">
        <v>19</v>
      </c>
      <c r="J75" s="12">
        <v>44</v>
      </c>
      <c r="K75" s="12">
        <v>8</v>
      </c>
      <c r="L75" s="12">
        <v>10</v>
      </c>
      <c r="M75" s="12">
        <v>25</v>
      </c>
      <c r="N75" s="12">
        <v>14</v>
      </c>
      <c r="O75" s="12">
        <v>15</v>
      </c>
      <c r="P75" s="12">
        <v>29</v>
      </c>
      <c r="Q75" s="12">
        <v>15</v>
      </c>
      <c r="R75" s="12">
        <v>7</v>
      </c>
      <c r="S75" s="13">
        <v>1994</v>
      </c>
      <c r="T75" s="5">
        <f t="shared" si="4"/>
        <v>336</v>
      </c>
      <c r="U75" s="33">
        <f t="shared" si="5"/>
        <v>0</v>
      </c>
    </row>
    <row r="76" spans="1:21" ht="10.5" hidden="1" customHeight="1" x14ac:dyDescent="0.3">
      <c r="A76" s="11">
        <v>1995</v>
      </c>
      <c r="B76" s="12">
        <v>336</v>
      </c>
      <c r="C76" s="12">
        <v>75</v>
      </c>
      <c r="D76" s="12">
        <v>38</v>
      </c>
      <c r="E76" s="12">
        <v>18</v>
      </c>
      <c r="F76" s="12">
        <v>17</v>
      </c>
      <c r="G76" s="12">
        <v>13</v>
      </c>
      <c r="H76" s="12">
        <v>8</v>
      </c>
      <c r="I76" s="12" t="s">
        <v>19</v>
      </c>
      <c r="J76" s="12">
        <v>44</v>
      </c>
      <c r="K76" s="12">
        <v>8</v>
      </c>
      <c r="L76" s="12">
        <v>10</v>
      </c>
      <c r="M76" s="12">
        <v>25</v>
      </c>
      <c r="N76" s="12">
        <v>14</v>
      </c>
      <c r="O76" s="12">
        <v>15</v>
      </c>
      <c r="P76" s="12">
        <v>29</v>
      </c>
      <c r="Q76" s="12">
        <v>15</v>
      </c>
      <c r="R76" s="12">
        <v>7</v>
      </c>
      <c r="S76" s="13">
        <v>1995</v>
      </c>
      <c r="T76" s="5">
        <f t="shared" si="4"/>
        <v>336</v>
      </c>
      <c r="U76" s="33">
        <f t="shared" si="5"/>
        <v>0</v>
      </c>
    </row>
    <row r="77" spans="1:21" ht="10.5" hidden="1" customHeight="1" x14ac:dyDescent="0.3">
      <c r="A77" s="11">
        <v>1996</v>
      </c>
      <c r="B77" s="12">
        <v>336</v>
      </c>
      <c r="C77" s="12">
        <v>75</v>
      </c>
      <c r="D77" s="12">
        <v>38</v>
      </c>
      <c r="E77" s="12">
        <v>18</v>
      </c>
      <c r="F77" s="12">
        <v>17</v>
      </c>
      <c r="G77" s="12">
        <v>13</v>
      </c>
      <c r="H77" s="12">
        <v>8</v>
      </c>
      <c r="I77" s="12" t="s">
        <v>19</v>
      </c>
      <c r="J77" s="12">
        <v>44</v>
      </c>
      <c r="K77" s="12">
        <v>8</v>
      </c>
      <c r="L77" s="12">
        <v>10</v>
      </c>
      <c r="M77" s="12">
        <v>25</v>
      </c>
      <c r="N77" s="12">
        <v>14</v>
      </c>
      <c r="O77" s="12">
        <v>15</v>
      </c>
      <c r="P77" s="12">
        <v>29</v>
      </c>
      <c r="Q77" s="12">
        <v>15</v>
      </c>
      <c r="R77" s="12">
        <v>7</v>
      </c>
      <c r="S77" s="13">
        <v>1996</v>
      </c>
      <c r="T77" s="5">
        <f t="shared" si="4"/>
        <v>336</v>
      </c>
      <c r="U77" s="33">
        <f t="shared" si="5"/>
        <v>0</v>
      </c>
    </row>
    <row r="78" spans="1:21" ht="10.5" hidden="1" customHeight="1" x14ac:dyDescent="0.3">
      <c r="A78" s="11">
        <v>1997</v>
      </c>
      <c r="B78" s="12">
        <v>341</v>
      </c>
      <c r="C78" s="12">
        <v>76</v>
      </c>
      <c r="D78" s="12">
        <v>39</v>
      </c>
      <c r="E78" s="12">
        <v>19</v>
      </c>
      <c r="F78" s="12">
        <v>17</v>
      </c>
      <c r="G78" s="12">
        <v>15</v>
      </c>
      <c r="H78" s="12">
        <v>9</v>
      </c>
      <c r="I78" s="12">
        <v>2</v>
      </c>
      <c r="J78" s="12">
        <v>44</v>
      </c>
      <c r="K78" s="12">
        <v>8</v>
      </c>
      <c r="L78" s="12">
        <v>10</v>
      </c>
      <c r="M78" s="12">
        <v>24</v>
      </c>
      <c r="N78" s="12">
        <v>14</v>
      </c>
      <c r="O78" s="12">
        <v>15</v>
      </c>
      <c r="P78" s="12">
        <v>29</v>
      </c>
      <c r="Q78" s="12">
        <v>13</v>
      </c>
      <c r="R78" s="12">
        <v>7</v>
      </c>
      <c r="S78" s="13">
        <v>1997</v>
      </c>
      <c r="T78" s="5">
        <f t="shared" si="4"/>
        <v>341</v>
      </c>
      <c r="U78" s="33">
        <f t="shared" si="5"/>
        <v>0</v>
      </c>
    </row>
    <row r="79" spans="1:21" ht="10.5" hidden="1" customHeight="1" x14ac:dyDescent="0.3">
      <c r="A79" s="11">
        <v>1998</v>
      </c>
      <c r="B79" s="12">
        <v>312</v>
      </c>
      <c r="C79" s="12">
        <v>74</v>
      </c>
      <c r="D79" s="12">
        <v>37</v>
      </c>
      <c r="E79" s="12">
        <v>18</v>
      </c>
      <c r="F79" s="12">
        <v>17</v>
      </c>
      <c r="G79" s="12">
        <v>11</v>
      </c>
      <c r="H79" s="12">
        <v>7</v>
      </c>
      <c r="I79" s="12">
        <v>1</v>
      </c>
      <c r="J79" s="12">
        <v>41</v>
      </c>
      <c r="K79" s="12">
        <v>8</v>
      </c>
      <c r="L79" s="12">
        <v>9</v>
      </c>
      <c r="M79" s="12">
        <v>22</v>
      </c>
      <c r="N79" s="12">
        <v>14</v>
      </c>
      <c r="O79" s="12">
        <v>13</v>
      </c>
      <c r="P79" s="12">
        <v>19</v>
      </c>
      <c r="Q79" s="12">
        <v>14</v>
      </c>
      <c r="R79" s="12">
        <v>7</v>
      </c>
      <c r="S79" s="13">
        <v>1998</v>
      </c>
      <c r="T79" s="5">
        <f t="shared" si="4"/>
        <v>312</v>
      </c>
      <c r="U79" s="33">
        <f t="shared" si="5"/>
        <v>0</v>
      </c>
    </row>
    <row r="80" spans="1:21" ht="10.5" customHeight="1" x14ac:dyDescent="0.3">
      <c r="A80" s="11">
        <v>1999</v>
      </c>
      <c r="B80" s="12">
        <v>278</v>
      </c>
      <c r="C80" s="12">
        <v>70</v>
      </c>
      <c r="D80" s="12">
        <v>32</v>
      </c>
      <c r="E80" s="12">
        <v>11</v>
      </c>
      <c r="F80" s="12">
        <v>16</v>
      </c>
      <c r="G80" s="12">
        <v>8</v>
      </c>
      <c r="H80" s="12">
        <v>5</v>
      </c>
      <c r="I80" s="12">
        <v>2</v>
      </c>
      <c r="J80" s="12">
        <v>41</v>
      </c>
      <c r="K80" s="12">
        <v>8</v>
      </c>
      <c r="L80" s="12">
        <v>9</v>
      </c>
      <c r="M80" s="12">
        <v>14</v>
      </c>
      <c r="N80" s="12">
        <v>13</v>
      </c>
      <c r="O80" s="12">
        <v>12</v>
      </c>
      <c r="P80" s="12">
        <v>17</v>
      </c>
      <c r="Q80" s="12">
        <v>13</v>
      </c>
      <c r="R80" s="12">
        <v>7</v>
      </c>
      <c r="S80" s="13">
        <v>1999</v>
      </c>
      <c r="T80" s="5">
        <f t="shared" si="4"/>
        <v>278</v>
      </c>
      <c r="U80" s="33">
        <f t="shared" si="5"/>
        <v>0</v>
      </c>
    </row>
    <row r="81" spans="1:21" ht="10.5" customHeight="1" x14ac:dyDescent="0.3">
      <c r="A81" s="11">
        <v>2000</v>
      </c>
      <c r="B81" s="12">
        <v>265</v>
      </c>
      <c r="C81" s="12">
        <v>74</v>
      </c>
      <c r="D81" s="12">
        <v>31</v>
      </c>
      <c r="E81" s="12">
        <v>10</v>
      </c>
      <c r="F81" s="12">
        <v>20</v>
      </c>
      <c r="G81" s="12">
        <v>6</v>
      </c>
      <c r="H81" s="12">
        <v>12</v>
      </c>
      <c r="I81" s="12">
        <v>1</v>
      </c>
      <c r="J81" s="12">
        <v>33</v>
      </c>
      <c r="K81" s="12">
        <v>7</v>
      </c>
      <c r="L81" s="12">
        <v>9</v>
      </c>
      <c r="M81" s="12">
        <v>7</v>
      </c>
      <c r="N81" s="12">
        <v>13</v>
      </c>
      <c r="O81" s="12">
        <v>9</v>
      </c>
      <c r="P81" s="12">
        <v>14</v>
      </c>
      <c r="Q81" s="12">
        <v>13</v>
      </c>
      <c r="R81" s="12">
        <v>6</v>
      </c>
      <c r="S81" s="13">
        <v>2000</v>
      </c>
      <c r="T81" s="5">
        <f t="shared" si="4"/>
        <v>265</v>
      </c>
      <c r="U81" s="33">
        <f t="shared" si="5"/>
        <v>0</v>
      </c>
    </row>
    <row r="82" spans="1:21" ht="10.5" customHeight="1" x14ac:dyDescent="0.3">
      <c r="A82" s="11">
        <v>2001</v>
      </c>
      <c r="B82" s="12">
        <v>227</v>
      </c>
      <c r="C82" s="12">
        <v>56</v>
      </c>
      <c r="D82" s="12">
        <v>25</v>
      </c>
      <c r="E82" s="12">
        <v>7</v>
      </c>
      <c r="F82" s="12">
        <v>16</v>
      </c>
      <c r="G82" s="12">
        <v>6</v>
      </c>
      <c r="H82" s="12">
        <v>8</v>
      </c>
      <c r="I82" s="21" t="s">
        <v>21</v>
      </c>
      <c r="J82" s="12">
        <v>27</v>
      </c>
      <c r="K82" s="12">
        <v>8</v>
      </c>
      <c r="L82" s="12">
        <v>9</v>
      </c>
      <c r="M82" s="12">
        <v>6</v>
      </c>
      <c r="N82" s="12">
        <v>13</v>
      </c>
      <c r="O82" s="12">
        <v>15</v>
      </c>
      <c r="P82" s="12">
        <v>15</v>
      </c>
      <c r="Q82" s="12">
        <v>11</v>
      </c>
      <c r="R82" s="12">
        <v>5</v>
      </c>
      <c r="S82" s="13">
        <v>2001</v>
      </c>
      <c r="T82" s="5">
        <f>SUM(C82:R82)</f>
        <v>227</v>
      </c>
      <c r="U82" s="33">
        <f>T82-B82</f>
        <v>0</v>
      </c>
    </row>
    <row r="83" spans="1:21" ht="6" customHeight="1" x14ac:dyDescent="0.3">
      <c r="A83" s="11" t="s">
        <v>1</v>
      </c>
      <c r="B83" s="12" t="s">
        <v>2</v>
      </c>
      <c r="C83" s="12" t="s">
        <v>3</v>
      </c>
      <c r="D83" s="12" t="s">
        <v>3</v>
      </c>
      <c r="E83" s="12" t="s">
        <v>3</v>
      </c>
      <c r="F83" s="12" t="s">
        <v>3</v>
      </c>
      <c r="G83" s="12" t="s">
        <v>3</v>
      </c>
      <c r="H83" s="12" t="s">
        <v>3</v>
      </c>
      <c r="I83" s="12" t="s">
        <v>3</v>
      </c>
      <c r="J83" s="12" t="s">
        <v>0</v>
      </c>
      <c r="K83" s="12" t="s">
        <v>0</v>
      </c>
      <c r="L83" s="12" t="s">
        <v>0</v>
      </c>
      <c r="M83" s="12" t="s">
        <v>0</v>
      </c>
      <c r="N83" s="12" t="s">
        <v>0</v>
      </c>
      <c r="O83" s="12" t="s">
        <v>0</v>
      </c>
      <c r="P83" s="12" t="s">
        <v>0</v>
      </c>
      <c r="Q83" s="12" t="s">
        <v>0</v>
      </c>
      <c r="R83" s="12" t="s">
        <v>0</v>
      </c>
      <c r="S83" s="13"/>
      <c r="T83" s="5">
        <f t="shared" si="4"/>
        <v>0</v>
      </c>
      <c r="U83" s="33" t="e">
        <f t="shared" si="5"/>
        <v>#VALUE!</v>
      </c>
    </row>
    <row r="84" spans="1:21" ht="10.5" customHeight="1" x14ac:dyDescent="0.3">
      <c r="A84" s="11">
        <v>2002</v>
      </c>
      <c r="B84" s="12">
        <v>234</v>
      </c>
      <c r="C84" s="12">
        <v>63</v>
      </c>
      <c r="D84" s="12">
        <v>25</v>
      </c>
      <c r="E84" s="12">
        <v>8</v>
      </c>
      <c r="F84" s="12">
        <v>16</v>
      </c>
      <c r="G84" s="12">
        <v>6</v>
      </c>
      <c r="H84" s="12">
        <v>8</v>
      </c>
      <c r="I84" s="21" t="s">
        <v>21</v>
      </c>
      <c r="J84" s="12">
        <v>22</v>
      </c>
      <c r="K84" s="12">
        <v>8</v>
      </c>
      <c r="L84" s="12">
        <v>10</v>
      </c>
      <c r="M84" s="12">
        <v>6</v>
      </c>
      <c r="N84" s="12">
        <v>12</v>
      </c>
      <c r="O84" s="12">
        <v>16</v>
      </c>
      <c r="P84" s="12">
        <v>14</v>
      </c>
      <c r="Q84" s="12">
        <v>12</v>
      </c>
      <c r="R84" s="12">
        <v>8</v>
      </c>
      <c r="S84" s="13">
        <v>2002</v>
      </c>
      <c r="T84" s="5">
        <f t="shared" si="4"/>
        <v>234</v>
      </c>
      <c r="U84" s="33">
        <f t="shared" si="5"/>
        <v>0</v>
      </c>
    </row>
    <row r="85" spans="1:21" ht="10.5" customHeight="1" x14ac:dyDescent="0.3">
      <c r="A85" s="28" t="s">
        <v>84</v>
      </c>
      <c r="B85" s="12">
        <v>241</v>
      </c>
      <c r="C85" s="12">
        <v>74</v>
      </c>
      <c r="D85" s="12">
        <v>25</v>
      </c>
      <c r="E85" s="12">
        <v>6</v>
      </c>
      <c r="F85" s="12">
        <v>11</v>
      </c>
      <c r="G85" s="12">
        <v>10</v>
      </c>
      <c r="H85" s="12">
        <v>4</v>
      </c>
      <c r="I85" s="12">
        <v>2</v>
      </c>
      <c r="J85" s="12">
        <v>28</v>
      </c>
      <c r="K85" s="12">
        <v>8</v>
      </c>
      <c r="L85" s="12">
        <v>10</v>
      </c>
      <c r="M85" s="12">
        <v>13</v>
      </c>
      <c r="N85" s="12">
        <v>12</v>
      </c>
      <c r="O85" s="12">
        <v>9</v>
      </c>
      <c r="P85" s="12">
        <v>15</v>
      </c>
      <c r="Q85" s="12">
        <v>10</v>
      </c>
      <c r="R85" s="12">
        <v>4</v>
      </c>
      <c r="S85" s="13">
        <v>2003</v>
      </c>
      <c r="T85" s="5">
        <f t="shared" si="4"/>
        <v>241</v>
      </c>
      <c r="U85" s="33">
        <f t="shared" si="5"/>
        <v>0</v>
      </c>
    </row>
    <row r="86" spans="1:21" s="30" customFormat="1" ht="10.5" customHeight="1" x14ac:dyDescent="0.3">
      <c r="A86" s="14">
        <v>2004</v>
      </c>
      <c r="B86" s="15">
        <v>246</v>
      </c>
      <c r="C86" s="15">
        <v>77</v>
      </c>
      <c r="D86" s="15">
        <v>25</v>
      </c>
      <c r="E86" s="15">
        <v>6</v>
      </c>
      <c r="F86" s="15">
        <v>11</v>
      </c>
      <c r="G86" s="15">
        <v>10</v>
      </c>
      <c r="H86" s="15">
        <v>4</v>
      </c>
      <c r="I86" s="15">
        <v>2</v>
      </c>
      <c r="J86" s="15">
        <v>33</v>
      </c>
      <c r="K86" s="15">
        <v>8</v>
      </c>
      <c r="L86" s="15">
        <v>10</v>
      </c>
      <c r="M86" s="15">
        <v>13</v>
      </c>
      <c r="N86" s="15">
        <v>12</v>
      </c>
      <c r="O86" s="15">
        <v>7</v>
      </c>
      <c r="P86" s="15">
        <v>15</v>
      </c>
      <c r="Q86" s="15">
        <v>9</v>
      </c>
      <c r="R86" s="15">
        <v>4</v>
      </c>
      <c r="S86" s="17">
        <v>2004</v>
      </c>
      <c r="T86" s="34">
        <f t="shared" si="4"/>
        <v>246</v>
      </c>
      <c r="U86" s="35">
        <f t="shared" si="5"/>
        <v>0</v>
      </c>
    </row>
    <row r="87" spans="1:21" s="30" customFormat="1" ht="10.5" customHeight="1" x14ac:dyDescent="0.3">
      <c r="A87" s="14">
        <v>2005</v>
      </c>
      <c r="B87" s="15">
        <v>256</v>
      </c>
      <c r="C87" s="15">
        <v>83</v>
      </c>
      <c r="D87" s="15">
        <v>24</v>
      </c>
      <c r="E87" s="15">
        <v>6</v>
      </c>
      <c r="F87" s="15">
        <v>11</v>
      </c>
      <c r="G87" s="15">
        <v>10</v>
      </c>
      <c r="H87" s="15">
        <v>4</v>
      </c>
      <c r="I87" s="15">
        <v>2</v>
      </c>
      <c r="J87" s="15">
        <v>36</v>
      </c>
      <c r="K87" s="15">
        <v>8</v>
      </c>
      <c r="L87" s="15">
        <v>10</v>
      </c>
      <c r="M87" s="15">
        <v>13</v>
      </c>
      <c r="N87" s="15">
        <v>12</v>
      </c>
      <c r="O87" s="15">
        <v>7</v>
      </c>
      <c r="P87" s="15">
        <v>16</v>
      </c>
      <c r="Q87" s="15">
        <v>10</v>
      </c>
      <c r="R87" s="15">
        <v>4</v>
      </c>
      <c r="S87" s="17">
        <v>2005</v>
      </c>
      <c r="T87" s="34">
        <f>SUM(C87:R87)</f>
        <v>256</v>
      </c>
      <c r="U87" s="35">
        <f>T87-B87</f>
        <v>0</v>
      </c>
    </row>
    <row r="88" spans="1:21" ht="5.25" customHeight="1" x14ac:dyDescent="0.3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4"/>
    </row>
    <row r="89" spans="1:21" ht="11.15" customHeight="1" x14ac:dyDescent="0.3">
      <c r="A89" s="25" t="s">
        <v>79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6"/>
    </row>
    <row r="90" spans="1:21" ht="11.15" customHeight="1" x14ac:dyDescent="0.3">
      <c r="A90" s="25" t="s">
        <v>80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6"/>
    </row>
    <row r="91" spans="1:21" ht="11.15" customHeight="1" x14ac:dyDescent="0.3">
      <c r="A91" s="25" t="s">
        <v>81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6"/>
    </row>
    <row r="92" spans="1:21" ht="11.15" customHeight="1" x14ac:dyDescent="0.3">
      <c r="A92" s="25" t="s">
        <v>82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6"/>
    </row>
    <row r="93" spans="1:21" ht="11.15" customHeight="1" x14ac:dyDescent="0.3">
      <c r="A93" s="25" t="s">
        <v>83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6"/>
    </row>
    <row r="94" spans="1:21" x14ac:dyDescent="0.3">
      <c r="A94" s="29" t="s">
        <v>61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6"/>
    </row>
    <row r="95" spans="1:21" x14ac:dyDescent="0.3">
      <c r="A95" s="29" t="s">
        <v>62</v>
      </c>
    </row>
    <row r="96" spans="1:21" ht="14.25" customHeight="1" x14ac:dyDescent="0.3">
      <c r="A96" s="133" t="s">
        <v>63</v>
      </c>
      <c r="B96" s="133"/>
      <c r="C96" s="133"/>
      <c r="D96" s="133"/>
      <c r="E96" s="133"/>
      <c r="F96" s="133"/>
      <c r="G96" s="133"/>
      <c r="H96" s="133"/>
      <c r="I96" s="133"/>
      <c r="J96" s="136" t="s">
        <v>29</v>
      </c>
      <c r="K96" s="136"/>
      <c r="L96" s="136"/>
      <c r="M96" s="136"/>
      <c r="N96" s="136"/>
      <c r="O96" s="136"/>
      <c r="P96" s="136"/>
      <c r="Q96" s="136"/>
      <c r="R96" s="136"/>
      <c r="S96" s="136"/>
      <c r="T96" s="5">
        <f t="shared" ref="T96:T107" si="8">SUM(C96:R96)</f>
        <v>0</v>
      </c>
    </row>
    <row r="97" spans="1:20" ht="10.5" hidden="1" customHeight="1" x14ac:dyDescent="0.3">
      <c r="A97" s="11">
        <v>1994</v>
      </c>
      <c r="B97" s="12">
        <v>85</v>
      </c>
      <c r="C97" s="12">
        <v>35</v>
      </c>
      <c r="D97" s="12">
        <v>7</v>
      </c>
      <c r="E97" s="12">
        <v>4</v>
      </c>
      <c r="F97" s="12">
        <v>4</v>
      </c>
      <c r="G97" s="12">
        <v>3</v>
      </c>
      <c r="H97" s="12">
        <v>3</v>
      </c>
      <c r="I97" s="12" t="s">
        <v>19</v>
      </c>
      <c r="J97" s="12">
        <v>9</v>
      </c>
      <c r="K97" s="12">
        <v>2</v>
      </c>
      <c r="L97" s="12">
        <v>2</v>
      </c>
      <c r="M97" s="12">
        <v>2</v>
      </c>
      <c r="N97" s="12">
        <v>2</v>
      </c>
      <c r="O97" s="12">
        <v>3</v>
      </c>
      <c r="P97" s="12">
        <v>2</v>
      </c>
      <c r="Q97" s="12">
        <v>7</v>
      </c>
      <c r="R97" s="12" t="s">
        <v>20</v>
      </c>
      <c r="S97" s="13">
        <v>1994</v>
      </c>
      <c r="T97" s="5">
        <f t="shared" si="8"/>
        <v>85</v>
      </c>
    </row>
    <row r="98" spans="1:20" ht="0.75" hidden="1" customHeight="1" x14ac:dyDescent="0.3">
      <c r="A98" s="11">
        <v>1995</v>
      </c>
      <c r="B98" s="12">
        <v>92</v>
      </c>
      <c r="C98" s="12">
        <v>39</v>
      </c>
      <c r="D98" s="12">
        <v>7</v>
      </c>
      <c r="E98" s="12">
        <v>4</v>
      </c>
      <c r="F98" s="12">
        <v>4</v>
      </c>
      <c r="G98" s="12">
        <v>4</v>
      </c>
      <c r="H98" s="12">
        <v>3</v>
      </c>
      <c r="I98" s="12" t="s">
        <v>19</v>
      </c>
      <c r="J98" s="12">
        <v>11</v>
      </c>
      <c r="K98" s="12">
        <v>2</v>
      </c>
      <c r="L98" s="12">
        <v>2</v>
      </c>
      <c r="M98" s="12">
        <v>2</v>
      </c>
      <c r="N98" s="12">
        <v>2</v>
      </c>
      <c r="O98" s="12">
        <v>3</v>
      </c>
      <c r="P98" s="12">
        <v>2</v>
      </c>
      <c r="Q98" s="12">
        <v>7</v>
      </c>
      <c r="R98" s="12" t="s">
        <v>20</v>
      </c>
      <c r="S98" s="13">
        <v>1995</v>
      </c>
      <c r="T98" s="5">
        <f t="shared" si="8"/>
        <v>92</v>
      </c>
    </row>
    <row r="99" spans="1:20" ht="10.5" hidden="1" customHeight="1" x14ac:dyDescent="0.3">
      <c r="A99" s="11">
        <v>1996</v>
      </c>
      <c r="B99" s="12">
        <v>94</v>
      </c>
      <c r="C99" s="12">
        <v>39</v>
      </c>
      <c r="D99" s="12">
        <v>7</v>
      </c>
      <c r="E99" s="12">
        <v>4</v>
      </c>
      <c r="F99" s="12">
        <v>5</v>
      </c>
      <c r="G99" s="12">
        <v>4</v>
      </c>
      <c r="H99" s="12">
        <v>3</v>
      </c>
      <c r="I99" s="12" t="s">
        <v>19</v>
      </c>
      <c r="J99" s="12">
        <v>12</v>
      </c>
      <c r="K99" s="12">
        <v>2</v>
      </c>
      <c r="L99" s="12">
        <v>2</v>
      </c>
      <c r="M99" s="12">
        <v>2</v>
      </c>
      <c r="N99" s="12">
        <v>2</v>
      </c>
      <c r="O99" s="12">
        <v>3</v>
      </c>
      <c r="P99" s="12">
        <v>2</v>
      </c>
      <c r="Q99" s="12">
        <v>7</v>
      </c>
      <c r="R99" s="12" t="s">
        <v>20</v>
      </c>
      <c r="S99" s="13">
        <v>1996</v>
      </c>
      <c r="T99" s="5">
        <f t="shared" si="8"/>
        <v>94</v>
      </c>
    </row>
    <row r="100" spans="1:20" ht="10.5" customHeight="1" x14ac:dyDescent="0.3">
      <c r="A100" s="11">
        <v>1997</v>
      </c>
      <c r="B100" s="12">
        <v>98</v>
      </c>
      <c r="C100" s="12">
        <v>42</v>
      </c>
      <c r="D100" s="12">
        <v>6</v>
      </c>
      <c r="E100" s="12">
        <v>4</v>
      </c>
      <c r="F100" s="12">
        <v>4</v>
      </c>
      <c r="G100" s="12">
        <v>4</v>
      </c>
      <c r="H100" s="12">
        <v>4</v>
      </c>
      <c r="I100" s="12">
        <v>3</v>
      </c>
      <c r="J100" s="12">
        <v>14</v>
      </c>
      <c r="K100" s="12">
        <v>2</v>
      </c>
      <c r="L100" s="12">
        <v>2</v>
      </c>
      <c r="M100" s="12">
        <v>2</v>
      </c>
      <c r="N100" s="12">
        <v>2</v>
      </c>
      <c r="O100" s="12">
        <v>3</v>
      </c>
      <c r="P100" s="12">
        <v>2</v>
      </c>
      <c r="Q100" s="12">
        <v>4</v>
      </c>
      <c r="R100" s="20" t="s">
        <v>20</v>
      </c>
      <c r="S100" s="13">
        <v>1997</v>
      </c>
      <c r="T100" s="5">
        <f t="shared" si="8"/>
        <v>98</v>
      </c>
    </row>
    <row r="101" spans="1:20" ht="10.5" customHeight="1" x14ac:dyDescent="0.3">
      <c r="A101" s="11">
        <v>1998</v>
      </c>
      <c r="B101" s="12">
        <v>49</v>
      </c>
      <c r="C101" s="12">
        <v>14</v>
      </c>
      <c r="D101" s="12">
        <v>3</v>
      </c>
      <c r="E101" s="12">
        <v>3</v>
      </c>
      <c r="F101" s="12">
        <v>2</v>
      </c>
      <c r="G101" s="12">
        <v>3</v>
      </c>
      <c r="H101" s="12">
        <v>1</v>
      </c>
      <c r="I101" s="12">
        <v>2</v>
      </c>
      <c r="J101" s="12">
        <v>7</v>
      </c>
      <c r="K101" s="12">
        <v>1</v>
      </c>
      <c r="L101" s="12">
        <v>2</v>
      </c>
      <c r="M101" s="12">
        <v>1</v>
      </c>
      <c r="N101" s="12">
        <v>2</v>
      </c>
      <c r="O101" s="12">
        <v>3</v>
      </c>
      <c r="P101" s="12">
        <v>2</v>
      </c>
      <c r="Q101" s="12">
        <v>3</v>
      </c>
      <c r="R101" s="20" t="s">
        <v>20</v>
      </c>
      <c r="S101" s="13">
        <v>1998</v>
      </c>
      <c r="T101" s="5">
        <f t="shared" si="8"/>
        <v>49</v>
      </c>
    </row>
    <row r="102" spans="1:20" ht="10.5" customHeight="1" x14ac:dyDescent="0.3">
      <c r="A102" s="11">
        <v>1999</v>
      </c>
      <c r="B102" s="12">
        <v>43</v>
      </c>
      <c r="C102" s="12">
        <v>11</v>
      </c>
      <c r="D102" s="12">
        <v>3</v>
      </c>
      <c r="E102" s="12">
        <v>3</v>
      </c>
      <c r="F102" s="12">
        <v>2</v>
      </c>
      <c r="G102" s="12">
        <v>3</v>
      </c>
      <c r="H102" s="12">
        <v>1</v>
      </c>
      <c r="I102" s="12">
        <v>1</v>
      </c>
      <c r="J102" s="12">
        <v>5</v>
      </c>
      <c r="K102" s="12">
        <v>1</v>
      </c>
      <c r="L102" s="12">
        <v>2</v>
      </c>
      <c r="M102" s="12">
        <v>1</v>
      </c>
      <c r="N102" s="12">
        <v>2</v>
      </c>
      <c r="O102" s="12">
        <v>3</v>
      </c>
      <c r="P102" s="12">
        <v>2</v>
      </c>
      <c r="Q102" s="12">
        <v>3</v>
      </c>
      <c r="R102" s="20" t="s">
        <v>20</v>
      </c>
      <c r="S102" s="13">
        <v>1999</v>
      </c>
      <c r="T102" s="5">
        <f t="shared" si="8"/>
        <v>43</v>
      </c>
    </row>
    <row r="103" spans="1:20" ht="6" customHeight="1" x14ac:dyDescent="0.3">
      <c r="A103" s="11" t="s">
        <v>1</v>
      </c>
      <c r="B103" s="12" t="s">
        <v>2</v>
      </c>
      <c r="C103" s="12" t="s">
        <v>3</v>
      </c>
      <c r="D103" s="12" t="s">
        <v>3</v>
      </c>
      <c r="E103" s="12" t="s">
        <v>3</v>
      </c>
      <c r="F103" s="12" t="s">
        <v>3</v>
      </c>
      <c r="G103" s="12" t="s">
        <v>3</v>
      </c>
      <c r="H103" s="12" t="s">
        <v>3</v>
      </c>
      <c r="I103" s="12" t="s">
        <v>3</v>
      </c>
      <c r="J103" s="12" t="s">
        <v>0</v>
      </c>
      <c r="K103" s="12" t="s">
        <v>0</v>
      </c>
      <c r="L103" s="12" t="s">
        <v>0</v>
      </c>
      <c r="M103" s="12" t="s">
        <v>0</v>
      </c>
      <c r="N103" s="12" t="s">
        <v>0</v>
      </c>
      <c r="O103" s="12" t="s">
        <v>0</v>
      </c>
      <c r="P103" s="12" t="s">
        <v>0</v>
      </c>
      <c r="Q103" s="12" t="s">
        <v>0</v>
      </c>
      <c r="R103" s="20" t="s">
        <v>0</v>
      </c>
      <c r="S103" s="13"/>
      <c r="T103" s="5">
        <f t="shared" si="8"/>
        <v>0</v>
      </c>
    </row>
    <row r="104" spans="1:20" ht="10.5" customHeight="1" x14ac:dyDescent="0.3">
      <c r="A104" s="11">
        <v>2000</v>
      </c>
      <c r="B104" s="12">
        <v>43</v>
      </c>
      <c r="C104" s="12">
        <v>11</v>
      </c>
      <c r="D104" s="12">
        <v>3</v>
      </c>
      <c r="E104" s="12">
        <v>3</v>
      </c>
      <c r="F104" s="12">
        <v>2</v>
      </c>
      <c r="G104" s="12">
        <v>3</v>
      </c>
      <c r="H104" s="12">
        <v>1</v>
      </c>
      <c r="I104" s="12">
        <v>1</v>
      </c>
      <c r="J104" s="12">
        <v>5</v>
      </c>
      <c r="K104" s="12">
        <v>1</v>
      </c>
      <c r="L104" s="12">
        <v>2</v>
      </c>
      <c r="M104" s="12">
        <v>1</v>
      </c>
      <c r="N104" s="12">
        <v>2</v>
      </c>
      <c r="O104" s="12">
        <v>3</v>
      </c>
      <c r="P104" s="12">
        <v>2</v>
      </c>
      <c r="Q104" s="12">
        <v>3</v>
      </c>
      <c r="R104" s="20" t="s">
        <v>20</v>
      </c>
      <c r="S104" s="13">
        <v>2000</v>
      </c>
      <c r="T104" s="5">
        <f t="shared" si="8"/>
        <v>43</v>
      </c>
    </row>
    <row r="105" spans="1:20" ht="10.5" customHeight="1" x14ac:dyDescent="0.3">
      <c r="A105" s="11">
        <v>2001</v>
      </c>
      <c r="B105" s="12">
        <v>45</v>
      </c>
      <c r="C105" s="12">
        <v>12</v>
      </c>
      <c r="D105" s="12">
        <v>3</v>
      </c>
      <c r="E105" s="12">
        <v>3</v>
      </c>
      <c r="F105" s="12">
        <v>2</v>
      </c>
      <c r="G105" s="12">
        <v>3</v>
      </c>
      <c r="H105" s="12">
        <v>2</v>
      </c>
      <c r="I105" s="12">
        <v>1</v>
      </c>
      <c r="J105" s="12">
        <v>5</v>
      </c>
      <c r="K105" s="12">
        <v>1</v>
      </c>
      <c r="L105" s="12">
        <v>2</v>
      </c>
      <c r="M105" s="12">
        <v>1</v>
      </c>
      <c r="N105" s="12">
        <v>2</v>
      </c>
      <c r="O105" s="12">
        <v>2</v>
      </c>
      <c r="P105" s="12">
        <v>2</v>
      </c>
      <c r="Q105" s="12">
        <v>3</v>
      </c>
      <c r="R105" s="12">
        <v>1</v>
      </c>
      <c r="S105" s="13">
        <v>2001</v>
      </c>
      <c r="T105" s="5">
        <f t="shared" si="8"/>
        <v>45</v>
      </c>
    </row>
    <row r="106" spans="1:20" ht="10.5" customHeight="1" x14ac:dyDescent="0.3">
      <c r="A106" s="11">
        <v>2002</v>
      </c>
      <c r="B106" s="12">
        <f>SUM(C106:R106)</f>
        <v>7</v>
      </c>
      <c r="C106" s="12">
        <v>1</v>
      </c>
      <c r="D106" s="12">
        <v>1</v>
      </c>
      <c r="E106" s="12">
        <v>1</v>
      </c>
      <c r="F106" s="12">
        <v>1</v>
      </c>
      <c r="G106" s="12">
        <v>1</v>
      </c>
      <c r="H106" s="12">
        <v>1</v>
      </c>
      <c r="I106" s="20" t="s">
        <v>20</v>
      </c>
      <c r="J106" s="20" t="s">
        <v>20</v>
      </c>
      <c r="K106" s="20" t="s">
        <v>20</v>
      </c>
      <c r="L106" s="20" t="s">
        <v>20</v>
      </c>
      <c r="M106" s="20" t="s">
        <v>20</v>
      </c>
      <c r="N106" s="12" t="s">
        <v>20</v>
      </c>
      <c r="O106" s="12" t="s">
        <v>20</v>
      </c>
      <c r="P106" s="20" t="s">
        <v>20</v>
      </c>
      <c r="Q106" s="12">
        <v>1</v>
      </c>
      <c r="R106" s="20" t="s">
        <v>20</v>
      </c>
      <c r="S106" s="13">
        <v>2002</v>
      </c>
      <c r="T106" s="5">
        <f t="shared" si="8"/>
        <v>7</v>
      </c>
    </row>
    <row r="107" spans="1:20" ht="10.5" customHeight="1" x14ac:dyDescent="0.3">
      <c r="A107" s="19">
        <v>2003</v>
      </c>
      <c r="B107" s="12">
        <v>8</v>
      </c>
      <c r="C107" s="12">
        <v>2</v>
      </c>
      <c r="D107" s="12">
        <v>1</v>
      </c>
      <c r="E107" s="12">
        <v>1</v>
      </c>
      <c r="F107" s="12">
        <v>1</v>
      </c>
      <c r="G107" s="12">
        <v>1</v>
      </c>
      <c r="H107" s="12">
        <v>1</v>
      </c>
      <c r="I107" s="20" t="s">
        <v>20</v>
      </c>
      <c r="J107" s="20" t="s">
        <v>20</v>
      </c>
      <c r="K107" s="20" t="s">
        <v>20</v>
      </c>
      <c r="L107" s="20" t="s">
        <v>20</v>
      </c>
      <c r="M107" s="20" t="s">
        <v>20</v>
      </c>
      <c r="N107" s="12" t="s">
        <v>20</v>
      </c>
      <c r="O107" s="12" t="s">
        <v>20</v>
      </c>
      <c r="P107" s="20" t="s">
        <v>20</v>
      </c>
      <c r="Q107" s="12">
        <v>1</v>
      </c>
      <c r="R107" s="20" t="s">
        <v>20</v>
      </c>
      <c r="S107" s="13">
        <v>2003</v>
      </c>
      <c r="T107" s="5">
        <f t="shared" si="8"/>
        <v>8</v>
      </c>
    </row>
    <row r="112" spans="1:20" x14ac:dyDescent="0.3">
      <c r="A112" s="1" t="s">
        <v>64</v>
      </c>
    </row>
    <row r="113" spans="1:4" x14ac:dyDescent="0.3">
      <c r="A113" s="1">
        <v>2004</v>
      </c>
      <c r="B113" s="33">
        <f>B16+B30</f>
        <v>6429</v>
      </c>
      <c r="C113" s="2" t="s">
        <v>65</v>
      </c>
      <c r="D113" s="33">
        <f>B15+B29</f>
        <v>6416</v>
      </c>
    </row>
    <row r="114" spans="1:4" x14ac:dyDescent="0.3">
      <c r="B114" s="33">
        <f>B44+B72+B86+'13.점포(II 2005)'!B16+'13.점포(II 2005)'!B30+'13.점포(II 2005)'!B44+'13.점포(II 2005)'!B58+'13.점포(II 2005)'!B72</f>
        <v>12290</v>
      </c>
      <c r="C114" s="2" t="s">
        <v>66</v>
      </c>
      <c r="D114" s="33">
        <f>C44+C72+C85+'13.점포(II 2005)'!B15+'13.점포(II 2005)'!B29+'13.점포(II 2005)'!B43+'13.점포(II 2005)'!B57+'13.점포(II 2005)'!B71-'13.점포(II 2005)'!B71+'13.점포(II 2005)'!B71</f>
        <v>11975</v>
      </c>
    </row>
  </sheetData>
  <mergeCells count="15">
    <mergeCell ref="A1:S1"/>
    <mergeCell ref="A4:I4"/>
    <mergeCell ref="J4:S4"/>
    <mergeCell ref="A18:I18"/>
    <mergeCell ref="A96:I96"/>
    <mergeCell ref="J18:S18"/>
    <mergeCell ref="J96:S96"/>
    <mergeCell ref="A74:I74"/>
    <mergeCell ref="J74:R74"/>
    <mergeCell ref="A32:I32"/>
    <mergeCell ref="J32:S32"/>
    <mergeCell ref="A60:I60"/>
    <mergeCell ref="J60:S60"/>
    <mergeCell ref="A46:I46"/>
    <mergeCell ref="J46:S46"/>
  </mergeCells>
  <phoneticPr fontId="2" type="noConversion"/>
  <pageMargins left="0.78740157480314965" right="0.74803149606299213" top="0.98425196850393704" bottom="0" header="0.51181102362204722" footer="0.51181102362204722"/>
  <pageSetup paperSize="9" scale="98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24"/>
  </sheetPr>
  <dimension ref="A1:AI93"/>
  <sheetViews>
    <sheetView zoomScaleNormal="100" workbookViewId="0">
      <pane xSplit="1" ySplit="9" topLeftCell="B55" activePane="bottomRight" state="frozen"/>
      <selection pane="topRight" activeCell="B1" sqref="B1"/>
      <selection pane="bottomLeft" activeCell="A10" sqref="A10"/>
      <selection pane="bottomRight" activeCell="G97" sqref="G97"/>
    </sheetView>
  </sheetViews>
  <sheetFormatPr defaultColWidth="8.86328125" defaultRowHeight="11.6" x14ac:dyDescent="0.3"/>
  <cols>
    <col min="1" max="1" width="7.33203125" style="1" customWidth="1"/>
    <col min="2" max="2" width="8.19921875" style="2" customWidth="1"/>
    <col min="3" max="3" width="8.796875" style="2" customWidth="1"/>
    <col min="4" max="4" width="8" style="2" customWidth="1"/>
    <col min="5" max="8" width="7.796875" style="2" customWidth="1"/>
    <col min="9" max="9" width="7.53125" style="2" customWidth="1"/>
    <col min="10" max="18" width="7.33203125" style="2" customWidth="1"/>
    <col min="19" max="19" width="7.33203125" style="1" customWidth="1"/>
    <col min="20" max="16384" width="8.86328125" style="2"/>
  </cols>
  <sheetData>
    <row r="1" spans="1:35" ht="18.45" x14ac:dyDescent="0.3">
      <c r="A1" s="135" t="s">
        <v>40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x14ac:dyDescent="0.3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6"/>
    </row>
    <row r="3" spans="1:35" ht="15" customHeight="1" x14ac:dyDescent="0.3">
      <c r="A3" s="8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23</v>
      </c>
      <c r="H3" s="26" t="s">
        <v>24</v>
      </c>
      <c r="I3" s="26" t="s">
        <v>25</v>
      </c>
      <c r="J3" s="9" t="s">
        <v>26</v>
      </c>
      <c r="K3" s="26" t="s">
        <v>10</v>
      </c>
      <c r="L3" s="26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  <c r="R3" s="26" t="s">
        <v>17</v>
      </c>
      <c r="S3" s="10" t="s">
        <v>18</v>
      </c>
    </row>
    <row r="4" spans="1:35" ht="16.5" customHeight="1" x14ac:dyDescent="0.3">
      <c r="A4" s="133" t="s">
        <v>30</v>
      </c>
      <c r="B4" s="133"/>
      <c r="C4" s="133"/>
      <c r="D4" s="133"/>
      <c r="E4" s="133"/>
      <c r="F4" s="133"/>
      <c r="G4" s="133"/>
      <c r="H4" s="133"/>
      <c r="I4" s="133"/>
      <c r="J4" s="136" t="s">
        <v>30</v>
      </c>
      <c r="K4" s="136"/>
      <c r="L4" s="136"/>
      <c r="M4" s="136"/>
      <c r="N4" s="136"/>
      <c r="O4" s="136"/>
      <c r="P4" s="136"/>
      <c r="Q4" s="136"/>
      <c r="R4" s="136"/>
      <c r="S4" s="136"/>
    </row>
    <row r="5" spans="1:35" ht="3" hidden="1" customHeight="1" x14ac:dyDescent="0.3">
      <c r="A5" s="11">
        <v>1994</v>
      </c>
      <c r="B5" s="12">
        <v>1617</v>
      </c>
      <c r="C5" s="12">
        <v>251</v>
      </c>
      <c r="D5" s="12">
        <v>75</v>
      </c>
      <c r="E5" s="12">
        <v>134</v>
      </c>
      <c r="F5" s="12">
        <v>64</v>
      </c>
      <c r="G5" s="12">
        <v>76</v>
      </c>
      <c r="H5" s="12">
        <v>65</v>
      </c>
      <c r="I5" s="12" t="s">
        <v>20</v>
      </c>
      <c r="J5" s="12">
        <v>126</v>
      </c>
      <c r="K5" s="12">
        <v>88</v>
      </c>
      <c r="L5" s="12">
        <v>127</v>
      </c>
      <c r="M5" s="12">
        <v>103</v>
      </c>
      <c r="N5" s="12">
        <v>115</v>
      </c>
      <c r="O5" s="12">
        <v>89</v>
      </c>
      <c r="P5" s="12">
        <v>118</v>
      </c>
      <c r="Q5" s="12">
        <v>152</v>
      </c>
      <c r="R5" s="12">
        <v>34</v>
      </c>
      <c r="S5" s="13">
        <v>1994</v>
      </c>
    </row>
    <row r="6" spans="1:35" ht="10.5" hidden="1" customHeight="1" x14ac:dyDescent="0.3">
      <c r="A6" s="11">
        <v>1995</v>
      </c>
      <c r="B6" s="12">
        <v>1665</v>
      </c>
      <c r="C6" s="12">
        <v>259</v>
      </c>
      <c r="D6" s="12">
        <v>84</v>
      </c>
      <c r="E6" s="12">
        <v>145</v>
      </c>
      <c r="F6" s="12">
        <v>69</v>
      </c>
      <c r="G6" s="12">
        <v>79</v>
      </c>
      <c r="H6" s="12">
        <v>71</v>
      </c>
      <c r="I6" s="12" t="s">
        <v>20</v>
      </c>
      <c r="J6" s="12">
        <v>124</v>
      </c>
      <c r="K6" s="12">
        <v>88</v>
      </c>
      <c r="L6" s="12">
        <v>126</v>
      </c>
      <c r="M6" s="12">
        <v>103</v>
      </c>
      <c r="N6" s="12">
        <v>115</v>
      </c>
      <c r="O6" s="12">
        <v>91</v>
      </c>
      <c r="P6" s="12">
        <v>117</v>
      </c>
      <c r="Q6" s="12">
        <v>159</v>
      </c>
      <c r="R6" s="12">
        <v>35</v>
      </c>
      <c r="S6" s="13">
        <v>1995</v>
      </c>
    </row>
    <row r="7" spans="1:35" ht="10.5" hidden="1" customHeight="1" x14ac:dyDescent="0.3">
      <c r="A7" s="11">
        <v>1996</v>
      </c>
      <c r="B7" s="12">
        <v>1670</v>
      </c>
      <c r="C7" s="12">
        <v>254</v>
      </c>
      <c r="D7" s="12">
        <v>89</v>
      </c>
      <c r="E7" s="12">
        <v>158</v>
      </c>
      <c r="F7" s="12">
        <v>68</v>
      </c>
      <c r="G7" s="12">
        <v>79</v>
      </c>
      <c r="H7" s="12">
        <v>72</v>
      </c>
      <c r="I7" s="12" t="s">
        <v>20</v>
      </c>
      <c r="J7" s="12">
        <v>123</v>
      </c>
      <c r="K7" s="12">
        <v>85</v>
      </c>
      <c r="L7" s="12">
        <v>124</v>
      </c>
      <c r="M7" s="12">
        <v>99</v>
      </c>
      <c r="N7" s="12">
        <v>112</v>
      </c>
      <c r="O7" s="12">
        <v>89</v>
      </c>
      <c r="P7" s="12">
        <v>116</v>
      </c>
      <c r="Q7" s="12">
        <v>166</v>
      </c>
      <c r="R7" s="12">
        <v>36</v>
      </c>
      <c r="S7" s="13">
        <v>1996</v>
      </c>
    </row>
    <row r="8" spans="1:35" ht="10.5" hidden="1" customHeight="1" x14ac:dyDescent="0.3">
      <c r="A8" s="11">
        <v>1997</v>
      </c>
      <c r="B8" s="12">
        <v>1666</v>
      </c>
      <c r="C8" s="12">
        <v>248</v>
      </c>
      <c r="D8" s="12">
        <v>89</v>
      </c>
      <c r="E8" s="12">
        <v>161</v>
      </c>
      <c r="F8" s="12">
        <v>67</v>
      </c>
      <c r="G8" s="12">
        <v>81</v>
      </c>
      <c r="H8" s="12">
        <v>72</v>
      </c>
      <c r="I8" s="12">
        <v>37</v>
      </c>
      <c r="J8" s="12">
        <v>125</v>
      </c>
      <c r="K8" s="12">
        <v>85</v>
      </c>
      <c r="L8" s="12">
        <v>125</v>
      </c>
      <c r="M8" s="12">
        <v>99</v>
      </c>
      <c r="N8" s="12">
        <v>112</v>
      </c>
      <c r="O8" s="12">
        <v>88</v>
      </c>
      <c r="P8" s="12">
        <v>115</v>
      </c>
      <c r="Q8" s="12">
        <v>126</v>
      </c>
      <c r="R8" s="12">
        <v>36</v>
      </c>
      <c r="S8" s="13">
        <v>1997</v>
      </c>
      <c r="T8" s="5">
        <f t="shared" ref="T8:T44" si="0">SUM(C8:R8)</f>
        <v>1666</v>
      </c>
    </row>
    <row r="9" spans="1:35" ht="10.5" hidden="1" customHeight="1" x14ac:dyDescent="0.3">
      <c r="A9" s="11">
        <v>1998</v>
      </c>
      <c r="B9" s="12">
        <v>1592</v>
      </c>
      <c r="C9" s="12">
        <v>222</v>
      </c>
      <c r="D9" s="12">
        <v>83</v>
      </c>
      <c r="E9" s="12">
        <v>141</v>
      </c>
      <c r="F9" s="12">
        <v>64</v>
      </c>
      <c r="G9" s="12">
        <v>81</v>
      </c>
      <c r="H9" s="12">
        <v>69</v>
      </c>
      <c r="I9" s="12">
        <v>35</v>
      </c>
      <c r="J9" s="12">
        <v>124</v>
      </c>
      <c r="K9" s="12">
        <v>85</v>
      </c>
      <c r="L9" s="12">
        <v>123</v>
      </c>
      <c r="M9" s="12">
        <v>97</v>
      </c>
      <c r="N9" s="12">
        <v>113</v>
      </c>
      <c r="O9" s="12">
        <v>88</v>
      </c>
      <c r="P9" s="12">
        <v>107</v>
      </c>
      <c r="Q9" s="12">
        <v>123</v>
      </c>
      <c r="R9" s="12">
        <v>37</v>
      </c>
      <c r="S9" s="13">
        <v>1998</v>
      </c>
      <c r="T9" s="5">
        <f t="shared" si="0"/>
        <v>1592</v>
      </c>
      <c r="U9" s="33">
        <f>T9-B9</f>
        <v>0</v>
      </c>
    </row>
    <row r="10" spans="1:35" ht="10.5" customHeight="1" x14ac:dyDescent="0.3">
      <c r="A10" s="11">
        <v>1999</v>
      </c>
      <c r="B10" s="12">
        <v>1442</v>
      </c>
      <c r="C10" s="12">
        <v>206</v>
      </c>
      <c r="D10" s="12">
        <v>77</v>
      </c>
      <c r="E10" s="12">
        <v>117</v>
      </c>
      <c r="F10" s="12">
        <v>61</v>
      </c>
      <c r="G10" s="12">
        <v>78</v>
      </c>
      <c r="H10" s="12">
        <v>66</v>
      </c>
      <c r="I10" s="12">
        <v>28</v>
      </c>
      <c r="J10" s="12">
        <v>119</v>
      </c>
      <c r="K10" s="12">
        <v>72</v>
      </c>
      <c r="L10" s="12">
        <v>109</v>
      </c>
      <c r="M10" s="12">
        <v>80</v>
      </c>
      <c r="N10" s="12">
        <v>105</v>
      </c>
      <c r="O10" s="12">
        <v>73</v>
      </c>
      <c r="P10" s="12">
        <v>102</v>
      </c>
      <c r="Q10" s="12">
        <v>113</v>
      </c>
      <c r="R10" s="12">
        <v>36</v>
      </c>
      <c r="S10" s="13">
        <v>1999</v>
      </c>
      <c r="T10" s="5">
        <f t="shared" si="0"/>
        <v>1442</v>
      </c>
      <c r="U10" s="33">
        <f t="shared" ref="U10:U72" si="1">T10-B10</f>
        <v>0</v>
      </c>
    </row>
    <row r="11" spans="1:35" ht="10.5" customHeight="1" x14ac:dyDescent="0.3">
      <c r="A11" s="11">
        <v>2000</v>
      </c>
      <c r="B11" s="12">
        <v>1317</v>
      </c>
      <c r="C11" s="12">
        <v>190</v>
      </c>
      <c r="D11" s="12">
        <v>72</v>
      </c>
      <c r="E11" s="12">
        <v>107</v>
      </c>
      <c r="F11" s="12">
        <v>56</v>
      </c>
      <c r="G11" s="12">
        <v>72</v>
      </c>
      <c r="H11" s="12">
        <v>61</v>
      </c>
      <c r="I11" s="12">
        <v>23</v>
      </c>
      <c r="J11" s="12">
        <v>112</v>
      </c>
      <c r="K11" s="12">
        <v>64</v>
      </c>
      <c r="L11" s="12">
        <v>97</v>
      </c>
      <c r="M11" s="12">
        <v>76</v>
      </c>
      <c r="N11" s="12">
        <v>99</v>
      </c>
      <c r="O11" s="12">
        <v>67</v>
      </c>
      <c r="P11" s="12">
        <v>96</v>
      </c>
      <c r="Q11" s="12">
        <v>92</v>
      </c>
      <c r="R11" s="12">
        <v>33</v>
      </c>
      <c r="S11" s="13">
        <v>2000</v>
      </c>
      <c r="T11" s="5">
        <f t="shared" si="0"/>
        <v>1317</v>
      </c>
      <c r="U11" s="33">
        <f t="shared" si="1"/>
        <v>0</v>
      </c>
    </row>
    <row r="12" spans="1:35" ht="10.5" customHeight="1" x14ac:dyDescent="0.3">
      <c r="A12" s="11">
        <v>2001</v>
      </c>
      <c r="B12" s="12">
        <v>1268</v>
      </c>
      <c r="C12" s="12">
        <v>182</v>
      </c>
      <c r="D12" s="12">
        <v>72</v>
      </c>
      <c r="E12" s="12">
        <v>98</v>
      </c>
      <c r="F12" s="12">
        <v>55</v>
      </c>
      <c r="G12" s="12">
        <v>70</v>
      </c>
      <c r="H12" s="12">
        <v>57</v>
      </c>
      <c r="I12" s="12">
        <v>22</v>
      </c>
      <c r="J12" s="12">
        <v>111</v>
      </c>
      <c r="K12" s="12">
        <v>60</v>
      </c>
      <c r="L12" s="12">
        <v>96</v>
      </c>
      <c r="M12" s="12">
        <v>72</v>
      </c>
      <c r="N12" s="12">
        <v>94</v>
      </c>
      <c r="O12" s="12">
        <v>66</v>
      </c>
      <c r="P12" s="12">
        <v>90</v>
      </c>
      <c r="Q12" s="12">
        <v>91</v>
      </c>
      <c r="R12" s="12">
        <v>32</v>
      </c>
      <c r="S12" s="13">
        <v>2001</v>
      </c>
      <c r="T12" s="5">
        <f>SUM(C12:R12)</f>
        <v>1268</v>
      </c>
      <c r="U12" s="33">
        <f>T12-B12</f>
        <v>0</v>
      </c>
    </row>
    <row r="13" spans="1:35" ht="6" customHeight="1" x14ac:dyDescent="0.3">
      <c r="A13" s="11" t="s">
        <v>1</v>
      </c>
      <c r="B13" s="12" t="s">
        <v>2</v>
      </c>
      <c r="C13" s="12" t="s">
        <v>3</v>
      </c>
      <c r="D13" s="12" t="s">
        <v>3</v>
      </c>
      <c r="E13" s="12" t="s">
        <v>3</v>
      </c>
      <c r="F13" s="12" t="s">
        <v>3</v>
      </c>
      <c r="G13" s="12" t="s">
        <v>0</v>
      </c>
      <c r="H13" s="12" t="s">
        <v>0</v>
      </c>
      <c r="I13" s="12" t="s">
        <v>0</v>
      </c>
      <c r="J13" s="12" t="s">
        <v>0</v>
      </c>
      <c r="K13" s="12" t="s">
        <v>0</v>
      </c>
      <c r="L13" s="12" t="s">
        <v>0</v>
      </c>
      <c r="M13" s="12" t="s">
        <v>0</v>
      </c>
      <c r="N13" s="12" t="s">
        <v>0</v>
      </c>
      <c r="O13" s="12" t="s">
        <v>0</v>
      </c>
      <c r="P13" s="12" t="s">
        <v>0</v>
      </c>
      <c r="Q13" s="12" t="s">
        <v>0</v>
      </c>
      <c r="R13" s="12" t="s">
        <v>0</v>
      </c>
      <c r="S13" s="13"/>
      <c r="T13" s="5">
        <f>SUM(C13:R13)</f>
        <v>0</v>
      </c>
      <c r="U13" s="33" t="e">
        <f t="shared" si="1"/>
        <v>#VALUE!</v>
      </c>
    </row>
    <row r="14" spans="1:35" ht="10.5" customHeight="1" x14ac:dyDescent="0.3">
      <c r="A14" s="11">
        <v>2002</v>
      </c>
      <c r="B14" s="12">
        <v>1233</v>
      </c>
      <c r="C14" s="12">
        <v>169</v>
      </c>
      <c r="D14" s="12">
        <v>68</v>
      </c>
      <c r="E14" s="12">
        <v>96</v>
      </c>
      <c r="F14" s="12">
        <v>55</v>
      </c>
      <c r="G14" s="12">
        <v>69</v>
      </c>
      <c r="H14" s="12">
        <v>55</v>
      </c>
      <c r="I14" s="12">
        <v>22</v>
      </c>
      <c r="J14" s="12">
        <v>112</v>
      </c>
      <c r="K14" s="12">
        <v>57</v>
      </c>
      <c r="L14" s="12">
        <v>95</v>
      </c>
      <c r="M14" s="12">
        <v>70</v>
      </c>
      <c r="N14" s="12">
        <v>92</v>
      </c>
      <c r="O14" s="12">
        <v>65</v>
      </c>
      <c r="P14" s="12">
        <v>90</v>
      </c>
      <c r="Q14" s="12">
        <v>86</v>
      </c>
      <c r="R14" s="12">
        <v>32</v>
      </c>
      <c r="S14" s="13">
        <v>2002</v>
      </c>
      <c r="T14" s="5">
        <f t="shared" si="0"/>
        <v>1233</v>
      </c>
      <c r="U14" s="33">
        <f t="shared" si="1"/>
        <v>0</v>
      </c>
    </row>
    <row r="15" spans="1:35" ht="10.5" customHeight="1" x14ac:dyDescent="0.3">
      <c r="A15" s="11">
        <v>2003</v>
      </c>
      <c r="B15" s="12">
        <v>1086</v>
      </c>
      <c r="C15" s="12">
        <v>161</v>
      </c>
      <c r="D15" s="12">
        <v>61</v>
      </c>
      <c r="E15" s="12">
        <v>71</v>
      </c>
      <c r="F15" s="12">
        <v>53</v>
      </c>
      <c r="G15" s="12">
        <v>56</v>
      </c>
      <c r="H15" s="12">
        <v>50</v>
      </c>
      <c r="I15" s="12">
        <v>15</v>
      </c>
      <c r="J15" s="12">
        <v>110</v>
      </c>
      <c r="K15" s="12">
        <v>47</v>
      </c>
      <c r="L15" s="12">
        <v>90</v>
      </c>
      <c r="M15" s="12">
        <v>60</v>
      </c>
      <c r="N15" s="12">
        <v>88</v>
      </c>
      <c r="O15" s="12">
        <v>56</v>
      </c>
      <c r="P15" s="12">
        <v>67</v>
      </c>
      <c r="Q15" s="12">
        <v>70</v>
      </c>
      <c r="R15" s="12">
        <v>31</v>
      </c>
      <c r="S15" s="13">
        <v>2003</v>
      </c>
      <c r="T15" s="5">
        <f t="shared" si="0"/>
        <v>1086</v>
      </c>
      <c r="U15" s="33">
        <f t="shared" si="1"/>
        <v>0</v>
      </c>
    </row>
    <row r="16" spans="1:35" s="30" customFormat="1" ht="10.5" customHeight="1" x14ac:dyDescent="0.3">
      <c r="A16" s="14">
        <v>2004</v>
      </c>
      <c r="B16" s="15">
        <v>1066</v>
      </c>
      <c r="C16" s="15">
        <v>160</v>
      </c>
      <c r="D16" s="15">
        <v>61</v>
      </c>
      <c r="E16" s="15">
        <v>69</v>
      </c>
      <c r="F16" s="15">
        <v>52</v>
      </c>
      <c r="G16" s="15">
        <v>53</v>
      </c>
      <c r="H16" s="15">
        <v>50</v>
      </c>
      <c r="I16" s="12">
        <v>13</v>
      </c>
      <c r="J16" s="32">
        <v>110</v>
      </c>
      <c r="K16" s="15">
        <v>47</v>
      </c>
      <c r="L16" s="15">
        <v>88</v>
      </c>
      <c r="M16" s="15">
        <v>60</v>
      </c>
      <c r="N16" s="15">
        <v>87</v>
      </c>
      <c r="O16" s="15">
        <v>54</v>
      </c>
      <c r="P16" s="15">
        <v>65</v>
      </c>
      <c r="Q16" s="15">
        <v>66</v>
      </c>
      <c r="R16" s="15">
        <v>31</v>
      </c>
      <c r="S16" s="17">
        <v>2004</v>
      </c>
      <c r="T16" s="5">
        <f t="shared" si="0"/>
        <v>1066</v>
      </c>
      <c r="U16" s="33">
        <f t="shared" si="1"/>
        <v>0</v>
      </c>
    </row>
    <row r="17" spans="1:21" s="30" customFormat="1" ht="10.5" customHeight="1" x14ac:dyDescent="0.3">
      <c r="A17" s="14">
        <v>2005</v>
      </c>
      <c r="B17" s="15">
        <v>1051</v>
      </c>
      <c r="C17" s="15">
        <v>157</v>
      </c>
      <c r="D17" s="15">
        <v>60</v>
      </c>
      <c r="E17" s="15">
        <v>65</v>
      </c>
      <c r="F17" s="15">
        <v>52</v>
      </c>
      <c r="G17" s="15">
        <v>53</v>
      </c>
      <c r="H17" s="15">
        <v>50</v>
      </c>
      <c r="I17" s="15">
        <v>13</v>
      </c>
      <c r="J17" s="32">
        <v>109</v>
      </c>
      <c r="K17" s="15">
        <v>47</v>
      </c>
      <c r="L17" s="15">
        <v>87</v>
      </c>
      <c r="M17" s="15">
        <v>60</v>
      </c>
      <c r="N17" s="15">
        <v>86</v>
      </c>
      <c r="O17" s="15">
        <v>53</v>
      </c>
      <c r="P17" s="15">
        <v>64</v>
      </c>
      <c r="Q17" s="15">
        <v>64</v>
      </c>
      <c r="R17" s="15">
        <v>31</v>
      </c>
      <c r="S17" s="17">
        <v>2005</v>
      </c>
      <c r="T17" s="5">
        <f>SUM(C17:R17)</f>
        <v>1051</v>
      </c>
      <c r="U17" s="33">
        <f>T17-B17</f>
        <v>0</v>
      </c>
    </row>
    <row r="18" spans="1:21" ht="15.75" customHeight="1" x14ac:dyDescent="0.3">
      <c r="A18" s="133" t="s">
        <v>31</v>
      </c>
      <c r="B18" s="133"/>
      <c r="C18" s="133"/>
      <c r="D18" s="133"/>
      <c r="E18" s="133"/>
      <c r="F18" s="133"/>
      <c r="G18" s="133"/>
      <c r="H18" s="133"/>
      <c r="I18" s="133"/>
      <c r="J18" s="136" t="s">
        <v>39</v>
      </c>
      <c r="K18" s="136"/>
      <c r="L18" s="136"/>
      <c r="M18" s="136"/>
      <c r="N18" s="136"/>
      <c r="O18" s="136"/>
      <c r="P18" s="136"/>
      <c r="Q18" s="136"/>
      <c r="R18" s="136"/>
      <c r="S18" s="136"/>
      <c r="T18" s="5">
        <f t="shared" si="0"/>
        <v>0</v>
      </c>
      <c r="U18" s="33">
        <f t="shared" si="1"/>
        <v>0</v>
      </c>
    </row>
    <row r="19" spans="1:21" ht="15.75" hidden="1" customHeight="1" x14ac:dyDescent="0.3">
      <c r="A19" s="11">
        <v>1994</v>
      </c>
      <c r="B19" s="12">
        <v>2746</v>
      </c>
      <c r="C19" s="12">
        <v>256</v>
      </c>
      <c r="D19" s="12">
        <v>127</v>
      </c>
      <c r="E19" s="12">
        <v>78</v>
      </c>
      <c r="F19" s="12">
        <v>48</v>
      </c>
      <c r="G19" s="12">
        <v>51</v>
      </c>
      <c r="H19" s="12">
        <v>60</v>
      </c>
      <c r="I19" s="12" t="s">
        <v>20</v>
      </c>
      <c r="J19" s="12">
        <v>342</v>
      </c>
      <c r="K19" s="12">
        <v>192</v>
      </c>
      <c r="L19" s="12">
        <v>147</v>
      </c>
      <c r="M19" s="12">
        <v>214</v>
      </c>
      <c r="N19" s="12">
        <v>226</v>
      </c>
      <c r="O19" s="12">
        <v>302</v>
      </c>
      <c r="P19" s="12">
        <v>323</v>
      </c>
      <c r="Q19" s="12">
        <v>335</v>
      </c>
      <c r="R19" s="12">
        <v>45</v>
      </c>
      <c r="S19" s="13">
        <v>1994</v>
      </c>
      <c r="T19" s="5">
        <f t="shared" si="0"/>
        <v>2746</v>
      </c>
      <c r="U19" s="33">
        <f t="shared" si="1"/>
        <v>0</v>
      </c>
    </row>
    <row r="20" spans="1:21" ht="15.75" hidden="1" customHeight="1" x14ac:dyDescent="0.3">
      <c r="A20" s="11">
        <v>1995</v>
      </c>
      <c r="B20" s="12">
        <v>2786</v>
      </c>
      <c r="C20" s="12">
        <v>260</v>
      </c>
      <c r="D20" s="12">
        <v>136</v>
      </c>
      <c r="E20" s="12">
        <v>90</v>
      </c>
      <c r="F20" s="12">
        <v>73</v>
      </c>
      <c r="G20" s="12">
        <v>52</v>
      </c>
      <c r="H20" s="12">
        <v>64</v>
      </c>
      <c r="I20" s="12" t="s">
        <v>20</v>
      </c>
      <c r="J20" s="12">
        <v>330</v>
      </c>
      <c r="K20" s="12">
        <v>194</v>
      </c>
      <c r="L20" s="12">
        <v>148</v>
      </c>
      <c r="M20" s="12">
        <v>216</v>
      </c>
      <c r="N20" s="12">
        <v>228</v>
      </c>
      <c r="O20" s="12">
        <v>304</v>
      </c>
      <c r="P20" s="12">
        <v>316</v>
      </c>
      <c r="Q20" s="12">
        <v>330</v>
      </c>
      <c r="R20" s="12">
        <v>45</v>
      </c>
      <c r="S20" s="13">
        <v>1995</v>
      </c>
      <c r="T20" s="5">
        <f t="shared" si="0"/>
        <v>2786</v>
      </c>
      <c r="U20" s="33">
        <f t="shared" si="1"/>
        <v>0</v>
      </c>
    </row>
    <row r="21" spans="1:21" ht="15.75" hidden="1" customHeight="1" x14ac:dyDescent="0.3">
      <c r="A21" s="11">
        <v>1996</v>
      </c>
      <c r="B21" s="12">
        <v>2832</v>
      </c>
      <c r="C21" s="12">
        <v>266</v>
      </c>
      <c r="D21" s="12">
        <v>139</v>
      </c>
      <c r="E21" s="12">
        <v>94</v>
      </c>
      <c r="F21" s="12">
        <v>76</v>
      </c>
      <c r="G21" s="12">
        <v>55</v>
      </c>
      <c r="H21" s="12">
        <v>68</v>
      </c>
      <c r="I21" s="12" t="s">
        <v>20</v>
      </c>
      <c r="J21" s="12">
        <v>341</v>
      </c>
      <c r="K21" s="12">
        <v>197</v>
      </c>
      <c r="L21" s="12">
        <v>148</v>
      </c>
      <c r="M21" s="12">
        <v>217</v>
      </c>
      <c r="N21" s="12">
        <v>232</v>
      </c>
      <c r="O21" s="12">
        <v>306</v>
      </c>
      <c r="P21" s="12">
        <v>316</v>
      </c>
      <c r="Q21" s="12">
        <v>332</v>
      </c>
      <c r="R21" s="12">
        <v>45</v>
      </c>
      <c r="S21" s="13">
        <v>1996</v>
      </c>
      <c r="T21" s="5">
        <f t="shared" si="0"/>
        <v>2832</v>
      </c>
      <c r="U21" s="33">
        <f t="shared" si="1"/>
        <v>0</v>
      </c>
    </row>
    <row r="22" spans="1:21" ht="15.75" hidden="1" customHeight="1" x14ac:dyDescent="0.3">
      <c r="A22" s="11">
        <v>1997</v>
      </c>
      <c r="B22" s="12">
        <v>2873</v>
      </c>
      <c r="C22" s="12">
        <v>273</v>
      </c>
      <c r="D22" s="12">
        <v>144</v>
      </c>
      <c r="E22" s="12">
        <v>97</v>
      </c>
      <c r="F22" s="12">
        <v>78</v>
      </c>
      <c r="G22" s="12">
        <v>57</v>
      </c>
      <c r="H22" s="12">
        <v>67</v>
      </c>
      <c r="I22" s="12">
        <v>37</v>
      </c>
      <c r="J22" s="12">
        <v>342</v>
      </c>
      <c r="K22" s="12">
        <v>199</v>
      </c>
      <c r="L22" s="12">
        <v>151</v>
      </c>
      <c r="M22" s="12">
        <v>220</v>
      </c>
      <c r="N22" s="12">
        <v>237</v>
      </c>
      <c r="O22" s="12">
        <v>308</v>
      </c>
      <c r="P22" s="12">
        <v>320</v>
      </c>
      <c r="Q22" s="12">
        <v>297</v>
      </c>
      <c r="R22" s="12">
        <v>46</v>
      </c>
      <c r="S22" s="13">
        <v>1997</v>
      </c>
      <c r="T22" s="5">
        <f t="shared" si="0"/>
        <v>2873</v>
      </c>
      <c r="U22" s="33">
        <f t="shared" si="1"/>
        <v>0</v>
      </c>
    </row>
    <row r="23" spans="1:21" ht="15.75" hidden="1" customHeight="1" x14ac:dyDescent="0.3">
      <c r="A23" s="11">
        <v>1998</v>
      </c>
      <c r="B23" s="12">
        <v>2807</v>
      </c>
      <c r="C23" s="12">
        <v>262</v>
      </c>
      <c r="D23" s="12">
        <v>141</v>
      </c>
      <c r="E23" s="12">
        <v>95</v>
      </c>
      <c r="F23" s="12">
        <v>77</v>
      </c>
      <c r="G23" s="12">
        <v>59</v>
      </c>
      <c r="H23" s="12">
        <v>66</v>
      </c>
      <c r="I23" s="12">
        <v>37</v>
      </c>
      <c r="J23" s="12">
        <v>336</v>
      </c>
      <c r="K23" s="12">
        <v>193</v>
      </c>
      <c r="L23" s="12">
        <v>149</v>
      </c>
      <c r="M23" s="12">
        <v>214</v>
      </c>
      <c r="N23" s="12">
        <v>232</v>
      </c>
      <c r="O23" s="12">
        <v>298</v>
      </c>
      <c r="P23" s="12">
        <v>314</v>
      </c>
      <c r="Q23" s="12">
        <v>293</v>
      </c>
      <c r="R23" s="12">
        <v>41</v>
      </c>
      <c r="S23" s="13">
        <v>1998</v>
      </c>
      <c r="T23" s="5">
        <f t="shared" si="0"/>
        <v>2807</v>
      </c>
      <c r="U23" s="33">
        <f t="shared" si="1"/>
        <v>0</v>
      </c>
    </row>
    <row r="24" spans="1:21" ht="10.5" customHeight="1" x14ac:dyDescent="0.3">
      <c r="A24" s="11">
        <v>1999</v>
      </c>
      <c r="B24" s="12">
        <v>2808</v>
      </c>
      <c r="C24" s="12">
        <v>262</v>
      </c>
      <c r="D24" s="12">
        <v>141</v>
      </c>
      <c r="E24" s="12">
        <v>97</v>
      </c>
      <c r="F24" s="12">
        <v>77</v>
      </c>
      <c r="G24" s="12">
        <v>61</v>
      </c>
      <c r="H24" s="12">
        <v>66</v>
      </c>
      <c r="I24" s="12">
        <v>37</v>
      </c>
      <c r="J24" s="12">
        <v>337</v>
      </c>
      <c r="K24" s="12">
        <v>194</v>
      </c>
      <c r="L24" s="12">
        <v>152</v>
      </c>
      <c r="M24" s="12">
        <v>213</v>
      </c>
      <c r="N24" s="12">
        <v>228</v>
      </c>
      <c r="O24" s="12">
        <v>296</v>
      </c>
      <c r="P24" s="12">
        <v>311</v>
      </c>
      <c r="Q24" s="12">
        <v>294</v>
      </c>
      <c r="R24" s="12">
        <v>42</v>
      </c>
      <c r="S24" s="13">
        <v>1999</v>
      </c>
      <c r="T24" s="5">
        <f t="shared" si="0"/>
        <v>2808</v>
      </c>
      <c r="U24" s="33">
        <f t="shared" si="1"/>
        <v>0</v>
      </c>
    </row>
    <row r="25" spans="1:21" ht="10.5" customHeight="1" x14ac:dyDescent="0.3">
      <c r="A25" s="11">
        <v>2000</v>
      </c>
      <c r="B25" s="12">
        <v>2812</v>
      </c>
      <c r="C25" s="12">
        <v>258</v>
      </c>
      <c r="D25" s="12">
        <v>143</v>
      </c>
      <c r="E25" s="12">
        <v>99</v>
      </c>
      <c r="F25" s="12">
        <v>76</v>
      </c>
      <c r="G25" s="12">
        <v>62</v>
      </c>
      <c r="H25" s="12">
        <v>67</v>
      </c>
      <c r="I25" s="12">
        <v>37</v>
      </c>
      <c r="J25" s="12">
        <v>341</v>
      </c>
      <c r="K25" s="12">
        <v>194</v>
      </c>
      <c r="L25" s="12">
        <v>150</v>
      </c>
      <c r="M25" s="12">
        <v>211</v>
      </c>
      <c r="N25" s="12">
        <v>230</v>
      </c>
      <c r="O25" s="12">
        <v>296</v>
      </c>
      <c r="P25" s="12">
        <v>312</v>
      </c>
      <c r="Q25" s="12">
        <v>294</v>
      </c>
      <c r="R25" s="12">
        <v>42</v>
      </c>
      <c r="S25" s="13">
        <v>2000</v>
      </c>
      <c r="T25" s="5">
        <f t="shared" si="0"/>
        <v>2812</v>
      </c>
      <c r="U25" s="33">
        <f t="shared" si="1"/>
        <v>0</v>
      </c>
    </row>
    <row r="26" spans="1:21" ht="10.5" customHeight="1" x14ac:dyDescent="0.3">
      <c r="A26" s="11">
        <v>2001</v>
      </c>
      <c r="B26" s="12">
        <v>2785</v>
      </c>
      <c r="C26" s="12">
        <v>257</v>
      </c>
      <c r="D26" s="12">
        <v>143</v>
      </c>
      <c r="E26" s="12">
        <v>98</v>
      </c>
      <c r="F26" s="12">
        <v>75</v>
      </c>
      <c r="G26" s="12">
        <v>61</v>
      </c>
      <c r="H26" s="12">
        <v>68</v>
      </c>
      <c r="I26" s="12">
        <v>38</v>
      </c>
      <c r="J26" s="12">
        <v>341</v>
      </c>
      <c r="K26" s="12">
        <v>187</v>
      </c>
      <c r="L26" s="12">
        <v>148</v>
      </c>
      <c r="M26" s="12">
        <v>211</v>
      </c>
      <c r="N26" s="12">
        <v>225</v>
      </c>
      <c r="O26" s="12">
        <v>291</v>
      </c>
      <c r="P26" s="12">
        <v>310</v>
      </c>
      <c r="Q26" s="12">
        <v>293</v>
      </c>
      <c r="R26" s="12">
        <v>39</v>
      </c>
      <c r="S26" s="13">
        <v>2001</v>
      </c>
      <c r="T26" s="5">
        <f>SUM(C26:R26)</f>
        <v>2785</v>
      </c>
      <c r="U26" s="33">
        <f>T26-B26</f>
        <v>0</v>
      </c>
    </row>
    <row r="27" spans="1:21" ht="6" customHeight="1" x14ac:dyDescent="0.3">
      <c r="A27" s="11" t="s">
        <v>1</v>
      </c>
      <c r="B27" s="12" t="s">
        <v>2</v>
      </c>
      <c r="C27" s="12" t="s">
        <v>3</v>
      </c>
      <c r="D27" s="12" t="s">
        <v>3</v>
      </c>
      <c r="E27" s="12" t="s">
        <v>3</v>
      </c>
      <c r="F27" s="12" t="s">
        <v>3</v>
      </c>
      <c r="G27" s="12" t="s">
        <v>0</v>
      </c>
      <c r="H27" s="12" t="s">
        <v>0</v>
      </c>
      <c r="I27" s="12" t="s">
        <v>0</v>
      </c>
      <c r="J27" s="12" t="s">
        <v>0</v>
      </c>
      <c r="K27" s="12" t="s">
        <v>0</v>
      </c>
      <c r="L27" s="12" t="s">
        <v>0</v>
      </c>
      <c r="M27" s="12" t="s">
        <v>0</v>
      </c>
      <c r="N27" s="12" t="s">
        <v>0</v>
      </c>
      <c r="O27" s="12" t="s">
        <v>0</v>
      </c>
      <c r="P27" s="12" t="s">
        <v>0</v>
      </c>
      <c r="Q27" s="12" t="s">
        <v>0</v>
      </c>
      <c r="R27" s="12" t="s">
        <v>0</v>
      </c>
      <c r="S27" s="13"/>
      <c r="T27" s="5">
        <f>SUM(C27:R27)</f>
        <v>0</v>
      </c>
      <c r="U27" s="33" t="e">
        <f t="shared" si="1"/>
        <v>#VALUE!</v>
      </c>
    </row>
    <row r="28" spans="1:21" ht="10.5" customHeight="1" x14ac:dyDescent="0.3">
      <c r="A28" s="11">
        <v>2002</v>
      </c>
      <c r="B28" s="12">
        <v>2809</v>
      </c>
      <c r="C28" s="12">
        <v>256</v>
      </c>
      <c r="D28" s="12">
        <v>144</v>
      </c>
      <c r="E28" s="12">
        <v>98</v>
      </c>
      <c r="F28" s="12">
        <v>76</v>
      </c>
      <c r="G28" s="12">
        <v>63</v>
      </c>
      <c r="H28" s="12">
        <v>71</v>
      </c>
      <c r="I28" s="12">
        <v>38</v>
      </c>
      <c r="J28" s="12">
        <v>343</v>
      </c>
      <c r="K28" s="12">
        <v>188</v>
      </c>
      <c r="L28" s="12">
        <v>151</v>
      </c>
      <c r="M28" s="12">
        <v>212</v>
      </c>
      <c r="N28" s="12">
        <v>230</v>
      </c>
      <c r="O28" s="12">
        <v>292</v>
      </c>
      <c r="P28" s="12">
        <v>312</v>
      </c>
      <c r="Q28" s="12">
        <v>296</v>
      </c>
      <c r="R28" s="12">
        <v>39</v>
      </c>
      <c r="S28" s="13">
        <v>2002</v>
      </c>
      <c r="T28" s="5">
        <f t="shared" si="0"/>
        <v>2809</v>
      </c>
      <c r="U28" s="33">
        <f t="shared" si="1"/>
        <v>0</v>
      </c>
    </row>
    <row r="29" spans="1:21" ht="10.5" customHeight="1" x14ac:dyDescent="0.3">
      <c r="A29" s="19">
        <v>2003</v>
      </c>
      <c r="B29" s="12">
        <v>2806</v>
      </c>
      <c r="C29" s="12">
        <v>257</v>
      </c>
      <c r="D29" s="12">
        <v>146</v>
      </c>
      <c r="E29" s="12">
        <v>99</v>
      </c>
      <c r="F29" s="12">
        <v>76</v>
      </c>
      <c r="G29" s="12">
        <v>64</v>
      </c>
      <c r="H29" s="12">
        <v>70</v>
      </c>
      <c r="I29" s="12">
        <v>39</v>
      </c>
      <c r="J29" s="12">
        <v>342</v>
      </c>
      <c r="K29" s="12">
        <v>189</v>
      </c>
      <c r="L29" s="12">
        <v>150</v>
      </c>
      <c r="M29" s="12">
        <v>211</v>
      </c>
      <c r="N29" s="12">
        <v>226</v>
      </c>
      <c r="O29" s="12">
        <v>292</v>
      </c>
      <c r="P29" s="12">
        <v>310</v>
      </c>
      <c r="Q29" s="12">
        <v>295</v>
      </c>
      <c r="R29" s="12">
        <v>40</v>
      </c>
      <c r="S29" s="19">
        <v>2003</v>
      </c>
      <c r="T29" s="5">
        <f t="shared" si="0"/>
        <v>2806</v>
      </c>
      <c r="U29" s="33">
        <f t="shared" si="1"/>
        <v>0</v>
      </c>
    </row>
    <row r="30" spans="1:21" s="30" customFormat="1" ht="10.5" customHeight="1" x14ac:dyDescent="0.3">
      <c r="A30" s="14">
        <v>2004</v>
      </c>
      <c r="B30" s="15">
        <v>2995</v>
      </c>
      <c r="C30" s="15">
        <v>262</v>
      </c>
      <c r="D30" s="15">
        <v>153</v>
      </c>
      <c r="E30" s="15">
        <v>100</v>
      </c>
      <c r="F30" s="15">
        <v>78</v>
      </c>
      <c r="G30" s="15">
        <v>64</v>
      </c>
      <c r="H30" s="15">
        <v>70</v>
      </c>
      <c r="I30" s="31">
        <v>40</v>
      </c>
      <c r="J30" s="32">
        <v>352</v>
      </c>
      <c r="K30" s="15">
        <v>193</v>
      </c>
      <c r="L30" s="15">
        <v>152</v>
      </c>
      <c r="M30" s="15">
        <v>217</v>
      </c>
      <c r="N30" s="15">
        <v>359</v>
      </c>
      <c r="O30" s="15">
        <v>298</v>
      </c>
      <c r="P30" s="15">
        <v>315</v>
      </c>
      <c r="Q30" s="15">
        <v>298</v>
      </c>
      <c r="R30" s="15">
        <v>44</v>
      </c>
      <c r="S30" s="17">
        <v>2004</v>
      </c>
      <c r="T30" s="5">
        <f t="shared" si="0"/>
        <v>2995</v>
      </c>
      <c r="U30" s="33">
        <f t="shared" si="1"/>
        <v>0</v>
      </c>
    </row>
    <row r="31" spans="1:21" s="30" customFormat="1" ht="10.5" customHeight="1" x14ac:dyDescent="0.3">
      <c r="A31" s="14">
        <v>2005</v>
      </c>
      <c r="B31" s="15">
        <v>2759</v>
      </c>
      <c r="C31" s="15">
        <v>255</v>
      </c>
      <c r="D31" s="15">
        <v>144</v>
      </c>
      <c r="E31" s="15">
        <v>96</v>
      </c>
      <c r="F31" s="15">
        <v>73</v>
      </c>
      <c r="G31" s="15">
        <v>63</v>
      </c>
      <c r="H31" s="15">
        <v>68</v>
      </c>
      <c r="I31" s="31">
        <v>40</v>
      </c>
      <c r="J31" s="32">
        <v>326</v>
      </c>
      <c r="K31" s="15">
        <v>176</v>
      </c>
      <c r="L31" s="15">
        <v>148</v>
      </c>
      <c r="M31" s="15">
        <v>213</v>
      </c>
      <c r="N31" s="15">
        <v>228</v>
      </c>
      <c r="O31" s="15">
        <v>290</v>
      </c>
      <c r="P31" s="15">
        <v>309</v>
      </c>
      <c r="Q31" s="15">
        <v>291</v>
      </c>
      <c r="R31" s="15">
        <v>38</v>
      </c>
      <c r="S31" s="17">
        <v>2005</v>
      </c>
      <c r="T31" s="5">
        <f>SUM(C31:R31)</f>
        <v>2758</v>
      </c>
      <c r="U31" s="33">
        <f>T31-B31</f>
        <v>-1</v>
      </c>
    </row>
    <row r="32" spans="1:21" ht="16.5" customHeight="1" x14ac:dyDescent="0.3">
      <c r="A32" s="133" t="s">
        <v>32</v>
      </c>
      <c r="B32" s="133"/>
      <c r="C32" s="133"/>
      <c r="D32" s="133"/>
      <c r="E32" s="133"/>
      <c r="F32" s="133"/>
      <c r="G32" s="133"/>
      <c r="H32" s="133"/>
      <c r="I32" s="133"/>
      <c r="J32" s="136" t="s">
        <v>32</v>
      </c>
      <c r="K32" s="136"/>
      <c r="L32" s="136"/>
      <c r="M32" s="136"/>
      <c r="N32" s="136"/>
      <c r="O32" s="136"/>
      <c r="P32" s="136"/>
      <c r="Q32" s="136"/>
      <c r="R32" s="136"/>
      <c r="S32" s="136"/>
      <c r="T32" s="5">
        <f t="shared" si="0"/>
        <v>0</v>
      </c>
      <c r="U32" s="33">
        <f t="shared" si="1"/>
        <v>0</v>
      </c>
    </row>
    <row r="33" spans="1:21" ht="10.5" hidden="1" customHeight="1" x14ac:dyDescent="0.3">
      <c r="A33" s="14">
        <v>1994</v>
      </c>
      <c r="B33" s="15">
        <v>1704</v>
      </c>
      <c r="C33" s="15">
        <v>22</v>
      </c>
      <c r="D33" s="15">
        <v>20</v>
      </c>
      <c r="E33" s="15">
        <v>17</v>
      </c>
      <c r="F33" s="15">
        <v>11</v>
      </c>
      <c r="G33" s="15">
        <v>17</v>
      </c>
      <c r="H33" s="15">
        <v>15</v>
      </c>
      <c r="I33" s="15" t="s">
        <v>20</v>
      </c>
      <c r="J33" s="12">
        <v>186</v>
      </c>
      <c r="K33" s="12">
        <v>125</v>
      </c>
      <c r="L33" s="12">
        <v>107</v>
      </c>
      <c r="M33" s="12">
        <v>196</v>
      </c>
      <c r="N33" s="12">
        <v>176</v>
      </c>
      <c r="O33" s="12">
        <v>270</v>
      </c>
      <c r="P33" s="12">
        <v>261</v>
      </c>
      <c r="Q33" s="12">
        <v>250</v>
      </c>
      <c r="R33" s="12">
        <v>31</v>
      </c>
      <c r="S33" s="13">
        <v>1994</v>
      </c>
      <c r="T33" s="5">
        <f t="shared" si="0"/>
        <v>1704</v>
      </c>
      <c r="U33" s="33">
        <f t="shared" si="1"/>
        <v>0</v>
      </c>
    </row>
    <row r="34" spans="1:21" ht="10.5" hidden="1" customHeight="1" x14ac:dyDescent="0.3">
      <c r="A34" s="14">
        <v>1995</v>
      </c>
      <c r="B34" s="15">
        <v>1730</v>
      </c>
      <c r="C34" s="15">
        <v>23</v>
      </c>
      <c r="D34" s="15">
        <v>25</v>
      </c>
      <c r="E34" s="15">
        <v>25</v>
      </c>
      <c r="F34" s="15">
        <v>24</v>
      </c>
      <c r="G34" s="15">
        <v>18</v>
      </c>
      <c r="H34" s="15">
        <v>15</v>
      </c>
      <c r="I34" s="15" t="s">
        <v>20</v>
      </c>
      <c r="J34" s="12">
        <v>175</v>
      </c>
      <c r="K34" s="12">
        <v>126</v>
      </c>
      <c r="L34" s="12">
        <v>108</v>
      </c>
      <c r="M34" s="12">
        <v>201</v>
      </c>
      <c r="N34" s="12">
        <v>176</v>
      </c>
      <c r="O34" s="12">
        <v>272</v>
      </c>
      <c r="P34" s="12">
        <v>256</v>
      </c>
      <c r="Q34" s="12">
        <v>253</v>
      </c>
      <c r="R34" s="12">
        <v>33</v>
      </c>
      <c r="S34" s="13">
        <v>1995</v>
      </c>
      <c r="T34" s="5">
        <f t="shared" si="0"/>
        <v>1730</v>
      </c>
      <c r="U34" s="33">
        <f t="shared" si="1"/>
        <v>0</v>
      </c>
    </row>
    <row r="35" spans="1:21" ht="10.5" hidden="1" customHeight="1" x14ac:dyDescent="0.3">
      <c r="A35" s="14">
        <v>1996</v>
      </c>
      <c r="B35" s="15">
        <v>1756</v>
      </c>
      <c r="C35" s="15">
        <v>23</v>
      </c>
      <c r="D35" s="15">
        <v>25</v>
      </c>
      <c r="E35" s="15">
        <v>26</v>
      </c>
      <c r="F35" s="15">
        <v>25</v>
      </c>
      <c r="G35" s="15">
        <v>18</v>
      </c>
      <c r="H35" s="15">
        <v>15</v>
      </c>
      <c r="I35" s="15" t="s">
        <v>20</v>
      </c>
      <c r="J35" s="12">
        <v>177</v>
      </c>
      <c r="K35" s="12">
        <v>129</v>
      </c>
      <c r="L35" s="12">
        <v>111</v>
      </c>
      <c r="M35" s="12">
        <v>201</v>
      </c>
      <c r="N35" s="12">
        <v>178</v>
      </c>
      <c r="O35" s="12">
        <v>277</v>
      </c>
      <c r="P35" s="12">
        <v>261</v>
      </c>
      <c r="Q35" s="12">
        <v>257</v>
      </c>
      <c r="R35" s="12">
        <v>33</v>
      </c>
      <c r="S35" s="13">
        <v>1996</v>
      </c>
      <c r="T35" s="5">
        <f t="shared" si="0"/>
        <v>1756</v>
      </c>
      <c r="U35" s="33">
        <f t="shared" si="1"/>
        <v>0</v>
      </c>
    </row>
    <row r="36" spans="1:21" ht="10.5" hidden="1" customHeight="1" x14ac:dyDescent="0.3">
      <c r="A36" s="11">
        <v>1997</v>
      </c>
      <c r="B36" s="12">
        <v>1733</v>
      </c>
      <c r="C36" s="12">
        <v>24</v>
      </c>
      <c r="D36" s="12">
        <v>27</v>
      </c>
      <c r="E36" s="12">
        <v>28</v>
      </c>
      <c r="F36" s="12">
        <v>25</v>
      </c>
      <c r="G36" s="12">
        <v>20</v>
      </c>
      <c r="H36" s="12">
        <v>15</v>
      </c>
      <c r="I36" s="12">
        <v>20</v>
      </c>
      <c r="J36" s="12">
        <v>177</v>
      </c>
      <c r="K36" s="12">
        <v>128</v>
      </c>
      <c r="L36" s="12">
        <v>108</v>
      </c>
      <c r="M36" s="12">
        <v>204</v>
      </c>
      <c r="N36" s="12">
        <v>175</v>
      </c>
      <c r="O36" s="12">
        <v>260</v>
      </c>
      <c r="P36" s="12">
        <v>261</v>
      </c>
      <c r="Q36" s="12">
        <v>228</v>
      </c>
      <c r="R36" s="12">
        <v>33</v>
      </c>
      <c r="S36" s="13">
        <v>1997</v>
      </c>
      <c r="T36" s="5">
        <f t="shared" si="0"/>
        <v>1733</v>
      </c>
      <c r="U36" s="33">
        <f t="shared" si="1"/>
        <v>0</v>
      </c>
    </row>
    <row r="37" spans="1:21" ht="10.5" hidden="1" customHeight="1" x14ac:dyDescent="0.3">
      <c r="A37" s="11">
        <v>1998</v>
      </c>
      <c r="B37" s="12">
        <v>1662</v>
      </c>
      <c r="C37" s="12">
        <v>24</v>
      </c>
      <c r="D37" s="12">
        <v>27</v>
      </c>
      <c r="E37" s="12">
        <v>28</v>
      </c>
      <c r="F37" s="12">
        <v>26</v>
      </c>
      <c r="G37" s="12">
        <v>20</v>
      </c>
      <c r="H37" s="12">
        <v>15</v>
      </c>
      <c r="I37" s="12">
        <v>20</v>
      </c>
      <c r="J37" s="12">
        <v>175</v>
      </c>
      <c r="K37" s="12">
        <v>126</v>
      </c>
      <c r="L37" s="12">
        <v>99</v>
      </c>
      <c r="M37" s="12">
        <v>192</v>
      </c>
      <c r="N37" s="12">
        <v>166</v>
      </c>
      <c r="O37" s="12">
        <v>247</v>
      </c>
      <c r="P37" s="12">
        <v>250</v>
      </c>
      <c r="Q37" s="12">
        <v>214</v>
      </c>
      <c r="R37" s="12">
        <v>33</v>
      </c>
      <c r="S37" s="13">
        <v>1998</v>
      </c>
      <c r="T37" s="5">
        <f t="shared" si="0"/>
        <v>1662</v>
      </c>
      <c r="U37" s="33">
        <f t="shared" si="1"/>
        <v>0</v>
      </c>
    </row>
    <row r="38" spans="1:21" ht="10.5" customHeight="1" x14ac:dyDescent="0.3">
      <c r="A38" s="11">
        <v>1999</v>
      </c>
      <c r="B38" s="12">
        <v>1599</v>
      </c>
      <c r="C38" s="12">
        <v>24</v>
      </c>
      <c r="D38" s="12">
        <v>23</v>
      </c>
      <c r="E38" s="12">
        <v>28</v>
      </c>
      <c r="F38" s="12">
        <v>26</v>
      </c>
      <c r="G38" s="12">
        <v>19</v>
      </c>
      <c r="H38" s="12">
        <v>16</v>
      </c>
      <c r="I38" s="12">
        <v>20</v>
      </c>
      <c r="J38" s="12">
        <v>174</v>
      </c>
      <c r="K38" s="12">
        <v>121</v>
      </c>
      <c r="L38" s="12">
        <v>97</v>
      </c>
      <c r="M38" s="12">
        <v>188</v>
      </c>
      <c r="N38" s="12">
        <v>148</v>
      </c>
      <c r="O38" s="12">
        <v>241</v>
      </c>
      <c r="P38" s="12">
        <v>237</v>
      </c>
      <c r="Q38" s="12">
        <v>203</v>
      </c>
      <c r="R38" s="12">
        <v>34</v>
      </c>
      <c r="S38" s="13">
        <v>1999</v>
      </c>
      <c r="T38" s="5">
        <f t="shared" si="0"/>
        <v>1599</v>
      </c>
      <c r="U38" s="33">
        <f t="shared" si="1"/>
        <v>0</v>
      </c>
    </row>
    <row r="39" spans="1:21" ht="10.5" customHeight="1" x14ac:dyDescent="0.3">
      <c r="A39" s="11">
        <v>2000</v>
      </c>
      <c r="B39" s="12">
        <v>1624</v>
      </c>
      <c r="C39" s="12">
        <v>24</v>
      </c>
      <c r="D39" s="12">
        <v>22</v>
      </c>
      <c r="E39" s="12">
        <v>23</v>
      </c>
      <c r="F39" s="12">
        <v>27</v>
      </c>
      <c r="G39" s="12">
        <v>18</v>
      </c>
      <c r="H39" s="12">
        <v>15</v>
      </c>
      <c r="I39" s="12">
        <v>20</v>
      </c>
      <c r="J39" s="12">
        <v>180</v>
      </c>
      <c r="K39" s="12">
        <v>122</v>
      </c>
      <c r="L39" s="12">
        <v>99</v>
      </c>
      <c r="M39" s="12">
        <v>196</v>
      </c>
      <c r="N39" s="12">
        <v>147</v>
      </c>
      <c r="O39" s="12">
        <v>245</v>
      </c>
      <c r="P39" s="12">
        <v>247</v>
      </c>
      <c r="Q39" s="12">
        <v>205</v>
      </c>
      <c r="R39" s="12">
        <v>34</v>
      </c>
      <c r="S39" s="13">
        <v>2000</v>
      </c>
      <c r="T39" s="5">
        <f t="shared" si="0"/>
        <v>1624</v>
      </c>
      <c r="U39" s="33">
        <f t="shared" si="1"/>
        <v>0</v>
      </c>
    </row>
    <row r="40" spans="1:21" ht="10.5" customHeight="1" x14ac:dyDescent="0.3">
      <c r="A40" s="11">
        <v>2001</v>
      </c>
      <c r="B40" s="12">
        <f>1383+103+132</f>
        <v>1618</v>
      </c>
      <c r="C40" s="12">
        <f>20+3+1</f>
        <v>24</v>
      </c>
      <c r="D40" s="12">
        <f>14+7+1</f>
        <v>22</v>
      </c>
      <c r="E40" s="12">
        <f>22+0+1</f>
        <v>23</v>
      </c>
      <c r="F40" s="12">
        <f>22+4+1</f>
        <v>27</v>
      </c>
      <c r="G40" s="12">
        <f>16+1+1</f>
        <v>18</v>
      </c>
      <c r="H40" s="12">
        <f>14+0+1</f>
        <v>15</v>
      </c>
      <c r="I40" s="12">
        <f>17+2+1</f>
        <v>20</v>
      </c>
      <c r="J40" s="12">
        <f>165+1+14</f>
        <v>180</v>
      </c>
      <c r="K40" s="12">
        <f>100+9+13</f>
        <v>122</v>
      </c>
      <c r="L40" s="12">
        <f>89+0+10</f>
        <v>99</v>
      </c>
      <c r="M40" s="12">
        <f>169+10+12</f>
        <v>191</v>
      </c>
      <c r="N40" s="12">
        <f>129+4+13</f>
        <v>146</v>
      </c>
      <c r="O40" s="12">
        <f>202+22+21</f>
        <v>245</v>
      </c>
      <c r="P40" s="12">
        <f>210+14+22</f>
        <v>246</v>
      </c>
      <c r="Q40" s="12">
        <f>169+19+18</f>
        <v>206</v>
      </c>
      <c r="R40" s="12">
        <f>25+7+2</f>
        <v>34</v>
      </c>
      <c r="S40" s="13">
        <v>2001</v>
      </c>
      <c r="T40" s="5">
        <f>SUM(C40:R40)</f>
        <v>1618</v>
      </c>
      <c r="U40" s="33">
        <f>T40-B40</f>
        <v>0</v>
      </c>
    </row>
    <row r="41" spans="1:21" ht="6" customHeight="1" x14ac:dyDescent="0.3">
      <c r="A41" s="11" t="s">
        <v>1</v>
      </c>
      <c r="B41" s="12" t="s">
        <v>2</v>
      </c>
      <c r="C41" s="12" t="s">
        <v>3</v>
      </c>
      <c r="D41" s="12" t="s">
        <v>3</v>
      </c>
      <c r="E41" s="12" t="s">
        <v>3</v>
      </c>
      <c r="F41" s="12" t="s">
        <v>3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3"/>
      <c r="T41" s="5">
        <f>SUM(C41:R41)</f>
        <v>0</v>
      </c>
      <c r="U41" s="33" t="e">
        <f t="shared" si="1"/>
        <v>#VALUE!</v>
      </c>
    </row>
    <row r="42" spans="1:21" ht="10.5" customHeight="1" x14ac:dyDescent="0.3">
      <c r="A42" s="11">
        <v>2002</v>
      </c>
      <c r="B42" s="12">
        <v>1593</v>
      </c>
      <c r="C42" s="12">
        <v>23</v>
      </c>
      <c r="D42" s="12">
        <v>22</v>
      </c>
      <c r="E42" s="12">
        <v>23</v>
      </c>
      <c r="F42" s="12">
        <v>27</v>
      </c>
      <c r="G42" s="12">
        <v>18</v>
      </c>
      <c r="H42" s="12">
        <v>15</v>
      </c>
      <c r="I42" s="12">
        <v>19</v>
      </c>
      <c r="J42" s="12">
        <v>180</v>
      </c>
      <c r="K42" s="12">
        <v>120</v>
      </c>
      <c r="L42" s="12">
        <v>98</v>
      </c>
      <c r="M42" s="12">
        <v>188</v>
      </c>
      <c r="N42" s="12">
        <v>145</v>
      </c>
      <c r="O42" s="12">
        <v>242</v>
      </c>
      <c r="P42" s="12">
        <v>234</v>
      </c>
      <c r="Q42" s="12">
        <v>205</v>
      </c>
      <c r="R42" s="12">
        <v>34</v>
      </c>
      <c r="S42" s="13">
        <v>2002</v>
      </c>
      <c r="T42" s="5">
        <f t="shared" si="0"/>
        <v>1593</v>
      </c>
      <c r="U42" s="33">
        <f t="shared" si="1"/>
        <v>0</v>
      </c>
    </row>
    <row r="43" spans="1:21" ht="10.5" customHeight="1" x14ac:dyDescent="0.3">
      <c r="A43" s="11">
        <v>2003</v>
      </c>
      <c r="B43" s="12">
        <v>1555</v>
      </c>
      <c r="C43" s="12">
        <v>23</v>
      </c>
      <c r="D43" s="12">
        <v>22</v>
      </c>
      <c r="E43" s="12">
        <v>24</v>
      </c>
      <c r="F43" s="12">
        <v>27</v>
      </c>
      <c r="G43" s="12">
        <v>17</v>
      </c>
      <c r="H43" s="12">
        <v>15</v>
      </c>
      <c r="I43" s="12">
        <v>19</v>
      </c>
      <c r="J43" s="12">
        <v>178</v>
      </c>
      <c r="K43" s="12">
        <v>114</v>
      </c>
      <c r="L43" s="12">
        <v>95</v>
      </c>
      <c r="M43" s="12">
        <v>185</v>
      </c>
      <c r="N43" s="12">
        <v>136</v>
      </c>
      <c r="O43" s="12">
        <v>238</v>
      </c>
      <c r="P43" s="12">
        <v>229</v>
      </c>
      <c r="Q43" s="12">
        <v>200</v>
      </c>
      <c r="R43" s="12">
        <v>33</v>
      </c>
      <c r="S43" s="19">
        <v>2003</v>
      </c>
      <c r="T43" s="5">
        <f t="shared" si="0"/>
        <v>1555</v>
      </c>
      <c r="U43" s="33">
        <f t="shared" si="1"/>
        <v>0</v>
      </c>
    </row>
    <row r="44" spans="1:21" s="30" customFormat="1" ht="10.5" customHeight="1" x14ac:dyDescent="0.3">
      <c r="A44" s="17">
        <v>2004</v>
      </c>
      <c r="B44" s="15">
        <v>1551</v>
      </c>
      <c r="C44" s="15">
        <v>23</v>
      </c>
      <c r="D44" s="15">
        <v>22</v>
      </c>
      <c r="E44" s="15">
        <v>22</v>
      </c>
      <c r="F44" s="15">
        <v>27</v>
      </c>
      <c r="G44" s="15">
        <v>16</v>
      </c>
      <c r="H44" s="15">
        <v>15</v>
      </c>
      <c r="I44" s="31">
        <v>19</v>
      </c>
      <c r="J44" s="32">
        <v>179</v>
      </c>
      <c r="K44" s="15">
        <v>112</v>
      </c>
      <c r="L44" s="15">
        <v>94</v>
      </c>
      <c r="M44" s="15">
        <v>187</v>
      </c>
      <c r="N44" s="15">
        <v>135</v>
      </c>
      <c r="O44" s="15">
        <v>238</v>
      </c>
      <c r="P44" s="15">
        <v>228</v>
      </c>
      <c r="Q44" s="15">
        <v>201</v>
      </c>
      <c r="R44" s="15">
        <v>33</v>
      </c>
      <c r="S44" s="17">
        <v>2004</v>
      </c>
      <c r="T44" s="5">
        <f t="shared" si="0"/>
        <v>1551</v>
      </c>
      <c r="U44" s="33">
        <f t="shared" si="1"/>
        <v>0</v>
      </c>
    </row>
    <row r="45" spans="1:21" s="30" customFormat="1" ht="10.5" customHeight="1" x14ac:dyDescent="0.3">
      <c r="A45" s="17">
        <v>2005</v>
      </c>
      <c r="B45" s="15">
        <v>1522</v>
      </c>
      <c r="C45" s="15">
        <v>23</v>
      </c>
      <c r="D45" s="15">
        <v>24</v>
      </c>
      <c r="E45" s="15">
        <v>26</v>
      </c>
      <c r="F45" s="15">
        <v>27</v>
      </c>
      <c r="G45" s="15">
        <v>18</v>
      </c>
      <c r="H45" s="15">
        <v>16</v>
      </c>
      <c r="I45" s="31">
        <v>19</v>
      </c>
      <c r="J45" s="32">
        <v>179</v>
      </c>
      <c r="K45" s="15">
        <v>110</v>
      </c>
      <c r="L45" s="15">
        <v>91</v>
      </c>
      <c r="M45" s="15">
        <v>184</v>
      </c>
      <c r="N45" s="15">
        <v>132</v>
      </c>
      <c r="O45" s="15">
        <v>223</v>
      </c>
      <c r="P45" s="15">
        <v>222</v>
      </c>
      <c r="Q45" s="15">
        <v>195</v>
      </c>
      <c r="R45" s="15">
        <v>33</v>
      </c>
      <c r="S45" s="17">
        <v>2005</v>
      </c>
      <c r="T45" s="5">
        <f>SUM(C45:R45)</f>
        <v>1522</v>
      </c>
      <c r="U45" s="33">
        <f>T45-B45</f>
        <v>0</v>
      </c>
    </row>
    <row r="46" spans="1:21" ht="16.5" customHeight="1" x14ac:dyDescent="0.3">
      <c r="A46" s="133" t="s">
        <v>33</v>
      </c>
      <c r="B46" s="133"/>
      <c r="C46" s="133"/>
      <c r="D46" s="133"/>
      <c r="E46" s="133"/>
      <c r="F46" s="133"/>
      <c r="G46" s="133"/>
      <c r="H46" s="133"/>
      <c r="I46" s="133"/>
      <c r="J46" s="136" t="s">
        <v>33</v>
      </c>
      <c r="K46" s="136"/>
      <c r="L46" s="136"/>
      <c r="M46" s="136"/>
      <c r="N46" s="136"/>
      <c r="O46" s="136"/>
      <c r="P46" s="136"/>
      <c r="Q46" s="136"/>
      <c r="R46" s="136"/>
      <c r="S46" s="136"/>
      <c r="T46" s="5">
        <f t="shared" ref="T46:T72" si="2">SUM(C46:R46)</f>
        <v>0</v>
      </c>
      <c r="U46" s="33">
        <f t="shared" si="1"/>
        <v>0</v>
      </c>
    </row>
    <row r="47" spans="1:21" ht="10.5" hidden="1" customHeight="1" x14ac:dyDescent="0.3">
      <c r="A47" s="11">
        <v>1994</v>
      </c>
      <c r="B47" s="12">
        <v>3063</v>
      </c>
      <c r="C47" s="12">
        <v>531</v>
      </c>
      <c r="D47" s="12">
        <v>242</v>
      </c>
      <c r="E47" s="12">
        <v>171</v>
      </c>
      <c r="F47" s="12">
        <v>121</v>
      </c>
      <c r="G47" s="12">
        <v>90</v>
      </c>
      <c r="H47" s="12">
        <v>92</v>
      </c>
      <c r="I47" s="12" t="s">
        <v>20</v>
      </c>
      <c r="J47" s="12">
        <v>340</v>
      </c>
      <c r="K47" s="12">
        <v>176</v>
      </c>
      <c r="L47" s="12">
        <v>132</v>
      </c>
      <c r="M47" s="12">
        <v>128</v>
      </c>
      <c r="N47" s="12">
        <v>148</v>
      </c>
      <c r="O47" s="12">
        <v>176</v>
      </c>
      <c r="P47" s="12">
        <v>343</v>
      </c>
      <c r="Q47" s="12">
        <v>310</v>
      </c>
      <c r="R47" s="12">
        <v>63</v>
      </c>
      <c r="S47" s="13">
        <v>1994</v>
      </c>
      <c r="T47" s="5">
        <f t="shared" si="2"/>
        <v>3063</v>
      </c>
      <c r="U47" s="33">
        <f t="shared" si="1"/>
        <v>0</v>
      </c>
    </row>
    <row r="48" spans="1:21" ht="10.5" hidden="1" customHeight="1" x14ac:dyDescent="0.3">
      <c r="A48" s="11">
        <v>1995</v>
      </c>
      <c r="B48" s="12">
        <v>2969</v>
      </c>
      <c r="C48" s="12">
        <v>519</v>
      </c>
      <c r="D48" s="12">
        <v>248</v>
      </c>
      <c r="E48" s="12">
        <v>185</v>
      </c>
      <c r="F48" s="12">
        <v>116</v>
      </c>
      <c r="G48" s="12">
        <v>90</v>
      </c>
      <c r="H48" s="12">
        <v>93</v>
      </c>
      <c r="I48" s="12" t="s">
        <v>20</v>
      </c>
      <c r="J48" s="12">
        <v>315</v>
      </c>
      <c r="K48" s="12">
        <v>160</v>
      </c>
      <c r="L48" s="12">
        <v>121</v>
      </c>
      <c r="M48" s="12">
        <v>124</v>
      </c>
      <c r="N48" s="12">
        <v>146</v>
      </c>
      <c r="O48" s="12">
        <v>169</v>
      </c>
      <c r="P48" s="12">
        <v>327</v>
      </c>
      <c r="Q48" s="12">
        <v>292</v>
      </c>
      <c r="R48" s="12">
        <v>64</v>
      </c>
      <c r="S48" s="13">
        <v>1995</v>
      </c>
      <c r="T48" s="5">
        <f t="shared" si="2"/>
        <v>2969</v>
      </c>
      <c r="U48" s="33">
        <f t="shared" si="1"/>
        <v>0</v>
      </c>
    </row>
    <row r="49" spans="1:21" ht="10.5" hidden="1" customHeight="1" x14ac:dyDescent="0.3">
      <c r="A49" s="11">
        <v>1996</v>
      </c>
      <c r="B49" s="12">
        <v>2863</v>
      </c>
      <c r="C49" s="12">
        <v>503</v>
      </c>
      <c r="D49" s="12">
        <v>248</v>
      </c>
      <c r="E49" s="12">
        <v>179</v>
      </c>
      <c r="F49" s="12">
        <v>112</v>
      </c>
      <c r="G49" s="12">
        <v>88</v>
      </c>
      <c r="H49" s="12">
        <v>90</v>
      </c>
      <c r="I49" s="12" t="s">
        <v>20</v>
      </c>
      <c r="J49" s="12">
        <v>300</v>
      </c>
      <c r="K49" s="12">
        <v>153</v>
      </c>
      <c r="L49" s="12">
        <v>115</v>
      </c>
      <c r="M49" s="12">
        <v>120</v>
      </c>
      <c r="N49" s="12">
        <v>141</v>
      </c>
      <c r="O49" s="12">
        <v>166</v>
      </c>
      <c r="P49" s="12">
        <v>316</v>
      </c>
      <c r="Q49" s="12">
        <v>267</v>
      </c>
      <c r="R49" s="12">
        <v>65</v>
      </c>
      <c r="S49" s="13">
        <v>1996</v>
      </c>
      <c r="T49" s="5">
        <f t="shared" si="2"/>
        <v>2863</v>
      </c>
      <c r="U49" s="33">
        <f t="shared" si="1"/>
        <v>0</v>
      </c>
    </row>
    <row r="50" spans="1:21" ht="10.5" hidden="1" customHeight="1" x14ac:dyDescent="0.3">
      <c r="A50" s="11">
        <v>1997</v>
      </c>
      <c r="B50" s="12">
        <v>2743</v>
      </c>
      <c r="C50" s="12">
        <v>479</v>
      </c>
      <c r="D50" s="12">
        <v>240</v>
      </c>
      <c r="E50" s="12">
        <v>176</v>
      </c>
      <c r="F50" s="12">
        <v>106</v>
      </c>
      <c r="G50" s="12">
        <v>88</v>
      </c>
      <c r="H50" s="12">
        <v>85</v>
      </c>
      <c r="I50" s="12">
        <v>49</v>
      </c>
      <c r="J50" s="12">
        <v>292</v>
      </c>
      <c r="K50" s="12">
        <v>144</v>
      </c>
      <c r="L50" s="12">
        <v>110</v>
      </c>
      <c r="M50" s="12">
        <v>116</v>
      </c>
      <c r="N50" s="12">
        <v>136</v>
      </c>
      <c r="O50" s="12">
        <v>158</v>
      </c>
      <c r="P50" s="12">
        <v>303</v>
      </c>
      <c r="Q50" s="12">
        <v>200</v>
      </c>
      <c r="R50" s="12">
        <v>61</v>
      </c>
      <c r="S50" s="13">
        <v>1997</v>
      </c>
      <c r="T50" s="5">
        <f t="shared" si="2"/>
        <v>2743</v>
      </c>
      <c r="U50" s="33">
        <f t="shared" si="1"/>
        <v>0</v>
      </c>
    </row>
    <row r="51" spans="1:21" ht="10.5" hidden="1" customHeight="1" x14ac:dyDescent="0.3">
      <c r="A51" s="11">
        <v>1998</v>
      </c>
      <c r="B51" s="12">
        <v>2590</v>
      </c>
      <c r="C51" s="12">
        <v>450</v>
      </c>
      <c r="D51" s="12">
        <v>234</v>
      </c>
      <c r="E51" s="12">
        <v>170</v>
      </c>
      <c r="F51" s="12">
        <v>103</v>
      </c>
      <c r="G51" s="12">
        <v>83</v>
      </c>
      <c r="H51" s="12">
        <v>77</v>
      </c>
      <c r="I51" s="12">
        <v>44</v>
      </c>
      <c r="J51" s="12">
        <v>265</v>
      </c>
      <c r="K51" s="12">
        <v>136</v>
      </c>
      <c r="L51" s="12">
        <v>102</v>
      </c>
      <c r="M51" s="12">
        <v>117</v>
      </c>
      <c r="N51" s="12">
        <v>126</v>
      </c>
      <c r="O51" s="12">
        <v>152</v>
      </c>
      <c r="P51" s="12">
        <v>282</v>
      </c>
      <c r="Q51" s="12">
        <v>192</v>
      </c>
      <c r="R51" s="12">
        <v>57</v>
      </c>
      <c r="S51" s="13">
        <v>1998</v>
      </c>
      <c r="T51" s="5">
        <f t="shared" si="2"/>
        <v>2590</v>
      </c>
      <c r="U51" s="33">
        <f t="shared" si="1"/>
        <v>0</v>
      </c>
    </row>
    <row r="52" spans="1:21" ht="10.5" customHeight="1" x14ac:dyDescent="0.3">
      <c r="A52" s="11">
        <v>1999</v>
      </c>
      <c r="B52" s="12">
        <v>2126</v>
      </c>
      <c r="C52" s="12">
        <v>414</v>
      </c>
      <c r="D52" s="12">
        <v>225</v>
      </c>
      <c r="E52" s="12">
        <v>161</v>
      </c>
      <c r="F52" s="12">
        <v>90</v>
      </c>
      <c r="G52" s="12">
        <v>70</v>
      </c>
      <c r="H52" s="12">
        <v>70</v>
      </c>
      <c r="I52" s="12">
        <v>36</v>
      </c>
      <c r="J52" s="12">
        <v>174</v>
      </c>
      <c r="K52" s="12">
        <v>83</v>
      </c>
      <c r="L52" s="12">
        <v>73</v>
      </c>
      <c r="M52" s="12">
        <v>92</v>
      </c>
      <c r="N52" s="12">
        <v>104</v>
      </c>
      <c r="O52" s="12">
        <v>105</v>
      </c>
      <c r="P52" s="12">
        <v>223</v>
      </c>
      <c r="Q52" s="12">
        <v>150</v>
      </c>
      <c r="R52" s="12">
        <v>56</v>
      </c>
      <c r="S52" s="13">
        <v>1999</v>
      </c>
      <c r="T52" s="5">
        <f t="shared" si="2"/>
        <v>2126</v>
      </c>
      <c r="U52" s="33">
        <f t="shared" si="1"/>
        <v>0</v>
      </c>
    </row>
    <row r="53" spans="1:21" ht="10.5" customHeight="1" x14ac:dyDescent="0.3">
      <c r="A53" s="11">
        <v>2000</v>
      </c>
      <c r="B53" s="12">
        <v>1817</v>
      </c>
      <c r="C53" s="12">
        <v>339</v>
      </c>
      <c r="D53" s="12">
        <v>212</v>
      </c>
      <c r="E53" s="12">
        <v>145</v>
      </c>
      <c r="F53" s="12">
        <v>74</v>
      </c>
      <c r="G53" s="12">
        <v>56</v>
      </c>
      <c r="H53" s="12">
        <v>60</v>
      </c>
      <c r="I53" s="12">
        <v>35</v>
      </c>
      <c r="J53" s="12">
        <v>140</v>
      </c>
      <c r="K53" s="12">
        <v>72</v>
      </c>
      <c r="L53" s="12">
        <v>65</v>
      </c>
      <c r="M53" s="12">
        <v>75</v>
      </c>
      <c r="N53" s="12">
        <v>84</v>
      </c>
      <c r="O53" s="12">
        <v>91</v>
      </c>
      <c r="P53" s="12">
        <v>184</v>
      </c>
      <c r="Q53" s="12">
        <v>137</v>
      </c>
      <c r="R53" s="12">
        <v>48</v>
      </c>
      <c r="S53" s="13">
        <v>2000</v>
      </c>
      <c r="T53" s="5">
        <f t="shared" si="2"/>
        <v>1817</v>
      </c>
      <c r="U53" s="33">
        <f t="shared" si="1"/>
        <v>0</v>
      </c>
    </row>
    <row r="54" spans="1:21" ht="10.5" customHeight="1" x14ac:dyDescent="0.3">
      <c r="A54" s="11">
        <v>2001</v>
      </c>
      <c r="B54" s="12">
        <v>1730</v>
      </c>
      <c r="C54" s="12">
        <v>315</v>
      </c>
      <c r="D54" s="12">
        <v>203</v>
      </c>
      <c r="E54" s="12">
        <v>133</v>
      </c>
      <c r="F54" s="12">
        <v>64</v>
      </c>
      <c r="G54" s="12">
        <v>54</v>
      </c>
      <c r="H54" s="12">
        <v>56</v>
      </c>
      <c r="I54" s="12">
        <v>35</v>
      </c>
      <c r="J54" s="12">
        <v>138</v>
      </c>
      <c r="K54" s="12">
        <v>67</v>
      </c>
      <c r="L54" s="12">
        <v>63</v>
      </c>
      <c r="M54" s="12">
        <v>71</v>
      </c>
      <c r="N54" s="12">
        <v>82</v>
      </c>
      <c r="O54" s="12">
        <v>87</v>
      </c>
      <c r="P54" s="12">
        <v>183</v>
      </c>
      <c r="Q54" s="12">
        <v>133</v>
      </c>
      <c r="R54" s="12">
        <v>46</v>
      </c>
      <c r="S54" s="13">
        <v>2001</v>
      </c>
      <c r="T54" s="5">
        <f>SUM(C54:R54)</f>
        <v>1730</v>
      </c>
      <c r="U54" s="33">
        <f>T54-B54</f>
        <v>0</v>
      </c>
    </row>
    <row r="55" spans="1:21" ht="6" customHeight="1" x14ac:dyDescent="0.3">
      <c r="A55" s="11" t="s">
        <v>1</v>
      </c>
      <c r="B55" s="12" t="s">
        <v>2</v>
      </c>
      <c r="C55" s="12" t="s">
        <v>3</v>
      </c>
      <c r="D55" s="12" t="s">
        <v>3</v>
      </c>
      <c r="E55" s="12" t="s">
        <v>3</v>
      </c>
      <c r="F55" s="12" t="s">
        <v>3</v>
      </c>
      <c r="G55" s="12" t="s">
        <v>0</v>
      </c>
      <c r="H55" s="12" t="s">
        <v>0</v>
      </c>
      <c r="I55" s="12" t="s">
        <v>0</v>
      </c>
      <c r="J55" s="12" t="s">
        <v>0</v>
      </c>
      <c r="K55" s="12" t="s">
        <v>0</v>
      </c>
      <c r="L55" s="12" t="s">
        <v>0</v>
      </c>
      <c r="M55" s="12" t="s">
        <v>0</v>
      </c>
      <c r="N55" s="12" t="s">
        <v>0</v>
      </c>
      <c r="O55" s="12" t="s">
        <v>0</v>
      </c>
      <c r="P55" s="12" t="s">
        <v>0</v>
      </c>
      <c r="Q55" s="12" t="s">
        <v>0</v>
      </c>
      <c r="R55" s="12" t="s">
        <v>0</v>
      </c>
      <c r="S55" s="13"/>
      <c r="T55" s="5">
        <f>SUM(C55:R55)</f>
        <v>0</v>
      </c>
      <c r="U55" s="33" t="e">
        <f t="shared" si="1"/>
        <v>#VALUE!</v>
      </c>
    </row>
    <row r="56" spans="1:21" ht="10.5" customHeight="1" x14ac:dyDescent="0.3">
      <c r="A56" s="11">
        <v>2002</v>
      </c>
      <c r="B56" s="12">
        <v>1701</v>
      </c>
      <c r="C56" s="12">
        <v>309</v>
      </c>
      <c r="D56" s="12">
        <v>202</v>
      </c>
      <c r="E56" s="12">
        <v>133</v>
      </c>
      <c r="F56" s="12">
        <v>61</v>
      </c>
      <c r="G56" s="12">
        <v>53</v>
      </c>
      <c r="H56" s="12">
        <v>55</v>
      </c>
      <c r="I56" s="12">
        <v>35</v>
      </c>
      <c r="J56" s="12">
        <v>137</v>
      </c>
      <c r="K56" s="12">
        <v>66</v>
      </c>
      <c r="L56" s="12">
        <v>62</v>
      </c>
      <c r="M56" s="12">
        <v>70</v>
      </c>
      <c r="N56" s="12">
        <v>78</v>
      </c>
      <c r="O56" s="12">
        <v>84</v>
      </c>
      <c r="P56" s="12">
        <v>180</v>
      </c>
      <c r="Q56" s="12">
        <v>130</v>
      </c>
      <c r="R56" s="12">
        <v>46</v>
      </c>
      <c r="S56" s="13">
        <v>2002</v>
      </c>
      <c r="T56" s="5">
        <f t="shared" si="2"/>
        <v>1701</v>
      </c>
      <c r="U56" s="33">
        <f t="shared" si="1"/>
        <v>0</v>
      </c>
    </row>
    <row r="57" spans="1:21" ht="10.5" customHeight="1" x14ac:dyDescent="0.3">
      <c r="A57" s="11">
        <v>2003</v>
      </c>
      <c r="B57" s="12">
        <v>1671</v>
      </c>
      <c r="C57" s="12">
        <v>302</v>
      </c>
      <c r="D57" s="12">
        <v>200</v>
      </c>
      <c r="E57" s="12">
        <v>132</v>
      </c>
      <c r="F57" s="12">
        <v>59</v>
      </c>
      <c r="G57" s="12">
        <v>50</v>
      </c>
      <c r="H57" s="12">
        <v>53</v>
      </c>
      <c r="I57" s="12">
        <v>35</v>
      </c>
      <c r="J57" s="12">
        <v>137</v>
      </c>
      <c r="K57" s="12">
        <v>65</v>
      </c>
      <c r="L57" s="12">
        <v>59</v>
      </c>
      <c r="M57" s="12">
        <v>68</v>
      </c>
      <c r="N57" s="12">
        <v>76</v>
      </c>
      <c r="O57" s="12">
        <v>82</v>
      </c>
      <c r="P57" s="12">
        <v>179</v>
      </c>
      <c r="Q57" s="12">
        <v>128</v>
      </c>
      <c r="R57" s="12">
        <v>46</v>
      </c>
      <c r="S57" s="19">
        <v>2003</v>
      </c>
      <c r="T57" s="5">
        <f t="shared" si="2"/>
        <v>1671</v>
      </c>
      <c r="U57" s="33">
        <f t="shared" si="1"/>
        <v>0</v>
      </c>
    </row>
    <row r="58" spans="1:21" s="30" customFormat="1" ht="10.5" customHeight="1" x14ac:dyDescent="0.3">
      <c r="A58" s="17">
        <v>2004</v>
      </c>
      <c r="B58" s="15">
        <v>1647</v>
      </c>
      <c r="C58" s="15">
        <v>302</v>
      </c>
      <c r="D58" s="15">
        <v>197</v>
      </c>
      <c r="E58" s="15">
        <v>131</v>
      </c>
      <c r="F58" s="15">
        <v>58</v>
      </c>
      <c r="G58" s="15">
        <v>49</v>
      </c>
      <c r="H58" s="15">
        <v>52</v>
      </c>
      <c r="I58" s="31">
        <v>35</v>
      </c>
      <c r="J58" s="32">
        <v>134</v>
      </c>
      <c r="K58" s="15">
        <v>65</v>
      </c>
      <c r="L58" s="15">
        <v>57</v>
      </c>
      <c r="M58" s="15">
        <v>68</v>
      </c>
      <c r="N58" s="15">
        <v>75</v>
      </c>
      <c r="O58" s="15">
        <v>76</v>
      </c>
      <c r="P58" s="15">
        <v>176</v>
      </c>
      <c r="Q58" s="15">
        <v>127</v>
      </c>
      <c r="R58" s="15">
        <v>45</v>
      </c>
      <c r="S58" s="17">
        <v>2004</v>
      </c>
      <c r="T58" s="5">
        <f t="shared" si="2"/>
        <v>1647</v>
      </c>
      <c r="U58" s="33">
        <f t="shared" si="1"/>
        <v>0</v>
      </c>
    </row>
    <row r="59" spans="1:21" s="30" customFormat="1" ht="10.5" customHeight="1" x14ac:dyDescent="0.3">
      <c r="A59" s="17">
        <v>2005</v>
      </c>
      <c r="B59" s="15">
        <v>1612</v>
      </c>
      <c r="C59" s="15">
        <v>300</v>
      </c>
      <c r="D59" s="15">
        <v>193</v>
      </c>
      <c r="E59" s="15">
        <v>128</v>
      </c>
      <c r="F59" s="15">
        <v>58</v>
      </c>
      <c r="G59" s="15">
        <v>47</v>
      </c>
      <c r="H59" s="15">
        <v>48</v>
      </c>
      <c r="I59" s="31">
        <v>35</v>
      </c>
      <c r="J59" s="32">
        <v>130</v>
      </c>
      <c r="K59" s="15">
        <v>64</v>
      </c>
      <c r="L59" s="15">
        <v>56</v>
      </c>
      <c r="M59" s="15">
        <v>68</v>
      </c>
      <c r="N59" s="15">
        <v>74</v>
      </c>
      <c r="O59" s="15">
        <v>72</v>
      </c>
      <c r="P59" s="15">
        <v>170</v>
      </c>
      <c r="Q59" s="15">
        <v>124</v>
      </c>
      <c r="R59" s="15">
        <v>45</v>
      </c>
      <c r="S59" s="17">
        <v>2005</v>
      </c>
      <c r="T59" s="5">
        <f t="shared" si="2"/>
        <v>1612</v>
      </c>
      <c r="U59" s="33">
        <f>T59-B59</f>
        <v>0</v>
      </c>
    </row>
    <row r="60" spans="1:21" ht="16.5" customHeight="1" x14ac:dyDescent="0.3">
      <c r="A60" s="133" t="s">
        <v>34</v>
      </c>
      <c r="B60" s="133"/>
      <c r="C60" s="133"/>
      <c r="D60" s="133"/>
      <c r="E60" s="133"/>
      <c r="F60" s="133"/>
      <c r="G60" s="133"/>
      <c r="H60" s="133"/>
      <c r="I60" s="133"/>
      <c r="J60" s="136" t="s">
        <v>27</v>
      </c>
      <c r="K60" s="136"/>
      <c r="L60" s="136"/>
      <c r="M60" s="136"/>
      <c r="N60" s="136"/>
      <c r="O60" s="136"/>
      <c r="P60" s="136"/>
      <c r="Q60" s="136"/>
      <c r="R60" s="136"/>
      <c r="S60" s="136"/>
      <c r="T60" s="5">
        <f t="shared" si="2"/>
        <v>0</v>
      </c>
      <c r="U60" s="33">
        <f t="shared" si="1"/>
        <v>0</v>
      </c>
    </row>
    <row r="61" spans="1:21" ht="10.5" hidden="1" customHeight="1" x14ac:dyDescent="0.3">
      <c r="A61" s="11">
        <v>1994</v>
      </c>
      <c r="B61" s="12">
        <v>12430</v>
      </c>
      <c r="C61" s="12">
        <v>3479</v>
      </c>
      <c r="D61" s="12">
        <v>1351</v>
      </c>
      <c r="E61" s="12">
        <v>796</v>
      </c>
      <c r="F61" s="12">
        <v>543</v>
      </c>
      <c r="G61" s="12">
        <v>562</v>
      </c>
      <c r="H61" s="12">
        <v>437</v>
      </c>
      <c r="I61" s="12" t="s">
        <v>20</v>
      </c>
      <c r="J61" s="12">
        <v>1281</v>
      </c>
      <c r="K61" s="12">
        <v>395</v>
      </c>
      <c r="L61" s="12">
        <v>371</v>
      </c>
      <c r="M61" s="12">
        <v>328</v>
      </c>
      <c r="N61" s="12">
        <v>563</v>
      </c>
      <c r="O61" s="12">
        <v>516</v>
      </c>
      <c r="P61" s="12">
        <v>562</v>
      </c>
      <c r="Q61" s="12">
        <v>1040</v>
      </c>
      <c r="R61" s="12">
        <v>206</v>
      </c>
      <c r="S61" s="13">
        <v>1994</v>
      </c>
      <c r="T61" s="5">
        <f t="shared" si="2"/>
        <v>12430</v>
      </c>
      <c r="U61" s="33">
        <f t="shared" si="1"/>
        <v>0</v>
      </c>
    </row>
    <row r="62" spans="1:21" ht="10.5" hidden="1" customHeight="1" x14ac:dyDescent="0.3">
      <c r="A62" s="11">
        <v>1995</v>
      </c>
      <c r="B62" s="12">
        <v>14773</v>
      </c>
      <c r="C62" s="12">
        <v>4092</v>
      </c>
      <c r="D62" s="12">
        <v>1531</v>
      </c>
      <c r="E62" s="12">
        <v>970</v>
      </c>
      <c r="F62" s="12">
        <v>657</v>
      </c>
      <c r="G62" s="12">
        <v>691</v>
      </c>
      <c r="H62" s="12">
        <v>517</v>
      </c>
      <c r="I62" s="12" t="s">
        <v>20</v>
      </c>
      <c r="J62" s="12">
        <v>1590</v>
      </c>
      <c r="K62" s="12">
        <v>486</v>
      </c>
      <c r="L62" s="12">
        <v>465</v>
      </c>
      <c r="M62" s="12">
        <v>370</v>
      </c>
      <c r="N62" s="12">
        <v>685</v>
      </c>
      <c r="O62" s="12">
        <v>609</v>
      </c>
      <c r="P62" s="12">
        <v>640</v>
      </c>
      <c r="Q62" s="12">
        <v>1213</v>
      </c>
      <c r="R62" s="12">
        <v>257</v>
      </c>
      <c r="S62" s="13">
        <v>1995</v>
      </c>
      <c r="T62" s="5">
        <f t="shared" si="2"/>
        <v>14773</v>
      </c>
      <c r="U62" s="33">
        <f t="shared" si="1"/>
        <v>0</v>
      </c>
    </row>
    <row r="63" spans="1:21" ht="11.25" hidden="1" customHeight="1" x14ac:dyDescent="0.3">
      <c r="A63" s="11">
        <v>1996</v>
      </c>
      <c r="B63" s="12">
        <v>13846</v>
      </c>
      <c r="C63" s="12">
        <v>3732</v>
      </c>
      <c r="D63" s="12">
        <v>1403</v>
      </c>
      <c r="E63" s="12">
        <v>897</v>
      </c>
      <c r="F63" s="12">
        <v>629</v>
      </c>
      <c r="G63" s="12">
        <v>633</v>
      </c>
      <c r="H63" s="12">
        <v>471</v>
      </c>
      <c r="I63" s="12" t="s">
        <v>20</v>
      </c>
      <c r="J63" s="12">
        <v>1588</v>
      </c>
      <c r="K63" s="12">
        <v>474</v>
      </c>
      <c r="L63" s="12">
        <v>424</v>
      </c>
      <c r="M63" s="12">
        <v>352</v>
      </c>
      <c r="N63" s="12">
        <v>611</v>
      </c>
      <c r="O63" s="12">
        <v>584</v>
      </c>
      <c r="P63" s="12">
        <v>619</v>
      </c>
      <c r="Q63" s="12">
        <v>1185</v>
      </c>
      <c r="R63" s="12">
        <v>244</v>
      </c>
      <c r="S63" s="13">
        <v>1996</v>
      </c>
      <c r="T63" s="5">
        <f t="shared" si="2"/>
        <v>13846</v>
      </c>
      <c r="U63" s="33">
        <f t="shared" si="1"/>
        <v>0</v>
      </c>
    </row>
    <row r="64" spans="1:21" ht="10.5" hidden="1" customHeight="1" x14ac:dyDescent="0.3">
      <c r="A64" s="11">
        <v>1997</v>
      </c>
      <c r="B64" s="12">
        <v>12244</v>
      </c>
      <c r="C64" s="12">
        <v>3153</v>
      </c>
      <c r="D64" s="12">
        <v>1164</v>
      </c>
      <c r="E64" s="12">
        <v>743</v>
      </c>
      <c r="F64" s="12">
        <v>567</v>
      </c>
      <c r="G64" s="12">
        <v>559</v>
      </c>
      <c r="H64" s="12">
        <v>418</v>
      </c>
      <c r="I64" s="12">
        <v>291</v>
      </c>
      <c r="J64" s="12">
        <v>1502</v>
      </c>
      <c r="K64" s="12">
        <v>452</v>
      </c>
      <c r="L64" s="12">
        <v>368</v>
      </c>
      <c r="M64" s="12">
        <v>343</v>
      </c>
      <c r="N64" s="12">
        <v>573</v>
      </c>
      <c r="O64" s="12">
        <v>534</v>
      </c>
      <c r="P64" s="12">
        <v>567</v>
      </c>
      <c r="Q64" s="12">
        <v>812</v>
      </c>
      <c r="R64" s="12">
        <v>198</v>
      </c>
      <c r="S64" s="13">
        <v>1997</v>
      </c>
      <c r="T64" s="5">
        <f t="shared" si="2"/>
        <v>12244</v>
      </c>
      <c r="U64" s="33">
        <f t="shared" si="1"/>
        <v>0</v>
      </c>
    </row>
    <row r="65" spans="1:21" ht="10.5" hidden="1" customHeight="1" x14ac:dyDescent="0.3">
      <c r="A65" s="11">
        <v>1998</v>
      </c>
      <c r="B65" s="12">
        <v>8955</v>
      </c>
      <c r="C65" s="12">
        <v>2366</v>
      </c>
      <c r="D65" s="12">
        <v>823</v>
      </c>
      <c r="E65" s="12">
        <v>519</v>
      </c>
      <c r="F65" s="12">
        <v>404</v>
      </c>
      <c r="G65" s="12">
        <v>396</v>
      </c>
      <c r="H65" s="12">
        <v>293</v>
      </c>
      <c r="I65" s="12">
        <v>206</v>
      </c>
      <c r="J65" s="12">
        <v>1167</v>
      </c>
      <c r="K65" s="12">
        <v>326</v>
      </c>
      <c r="L65" s="12">
        <v>263</v>
      </c>
      <c r="M65" s="12">
        <v>260</v>
      </c>
      <c r="N65" s="12">
        <v>396</v>
      </c>
      <c r="O65" s="12">
        <v>395</v>
      </c>
      <c r="P65" s="12">
        <v>435</v>
      </c>
      <c r="Q65" s="12">
        <v>576</v>
      </c>
      <c r="R65" s="12">
        <v>130</v>
      </c>
      <c r="S65" s="13">
        <v>1998</v>
      </c>
      <c r="T65" s="5">
        <f t="shared" si="2"/>
        <v>8955</v>
      </c>
      <c r="U65" s="33">
        <f t="shared" si="1"/>
        <v>0</v>
      </c>
    </row>
    <row r="66" spans="1:21" ht="10.5" customHeight="1" x14ac:dyDescent="0.3">
      <c r="A66" s="11">
        <v>1999</v>
      </c>
      <c r="B66" s="12">
        <v>8160</v>
      </c>
      <c r="C66" s="12">
        <v>2152</v>
      </c>
      <c r="D66" s="12">
        <v>739</v>
      </c>
      <c r="E66" s="12">
        <v>467</v>
      </c>
      <c r="F66" s="12">
        <v>379</v>
      </c>
      <c r="G66" s="12">
        <v>350</v>
      </c>
      <c r="H66" s="12">
        <v>248</v>
      </c>
      <c r="I66" s="12">
        <v>190</v>
      </c>
      <c r="J66" s="12">
        <v>1104</v>
      </c>
      <c r="K66" s="12">
        <v>307</v>
      </c>
      <c r="L66" s="12">
        <v>245</v>
      </c>
      <c r="M66" s="12">
        <v>244</v>
      </c>
      <c r="N66" s="12">
        <v>365</v>
      </c>
      <c r="O66" s="12">
        <v>369</v>
      </c>
      <c r="P66" s="12">
        <v>401</v>
      </c>
      <c r="Q66" s="12">
        <v>480</v>
      </c>
      <c r="R66" s="12">
        <v>120</v>
      </c>
      <c r="S66" s="13">
        <v>1999</v>
      </c>
      <c r="T66" s="5">
        <f t="shared" si="2"/>
        <v>8160</v>
      </c>
      <c r="U66" s="33">
        <f t="shared" si="1"/>
        <v>0</v>
      </c>
    </row>
    <row r="67" spans="1:21" ht="10.5" customHeight="1" x14ac:dyDescent="0.3">
      <c r="A67" s="11">
        <v>2000</v>
      </c>
      <c r="B67" s="12">
        <v>6889</v>
      </c>
      <c r="C67" s="12">
        <v>1781</v>
      </c>
      <c r="D67" s="12">
        <v>604</v>
      </c>
      <c r="E67" s="12">
        <v>366</v>
      </c>
      <c r="F67" s="12">
        <v>337</v>
      </c>
      <c r="G67" s="12">
        <v>287</v>
      </c>
      <c r="H67" s="12">
        <v>208</v>
      </c>
      <c r="I67" s="12">
        <v>140</v>
      </c>
      <c r="J67" s="12">
        <v>1002</v>
      </c>
      <c r="K67" s="12">
        <v>264</v>
      </c>
      <c r="L67" s="12">
        <v>216</v>
      </c>
      <c r="M67" s="12">
        <v>212</v>
      </c>
      <c r="N67" s="12">
        <v>326</v>
      </c>
      <c r="O67" s="12">
        <v>303</v>
      </c>
      <c r="P67" s="12">
        <v>335</v>
      </c>
      <c r="Q67" s="12">
        <v>410</v>
      </c>
      <c r="R67" s="12">
        <v>98</v>
      </c>
      <c r="S67" s="13">
        <v>2000</v>
      </c>
      <c r="T67" s="5">
        <f t="shared" si="2"/>
        <v>6889</v>
      </c>
      <c r="U67" s="33">
        <f t="shared" si="1"/>
        <v>0</v>
      </c>
    </row>
    <row r="68" spans="1:21" ht="10.5" customHeight="1" x14ac:dyDescent="0.3">
      <c r="A68" s="11">
        <v>2001</v>
      </c>
      <c r="B68" s="12">
        <v>5853</v>
      </c>
      <c r="C68" s="12">
        <v>1552</v>
      </c>
      <c r="D68" s="12">
        <v>508</v>
      </c>
      <c r="E68" s="12">
        <v>309</v>
      </c>
      <c r="F68" s="12">
        <v>287</v>
      </c>
      <c r="G68" s="12">
        <v>234</v>
      </c>
      <c r="H68" s="12">
        <v>176</v>
      </c>
      <c r="I68" s="12">
        <v>130</v>
      </c>
      <c r="J68" s="12">
        <v>878</v>
      </c>
      <c r="K68" s="12">
        <v>205</v>
      </c>
      <c r="L68" s="12">
        <v>183</v>
      </c>
      <c r="M68" s="12">
        <v>180</v>
      </c>
      <c r="N68" s="12">
        <v>270</v>
      </c>
      <c r="O68" s="12">
        <v>255</v>
      </c>
      <c r="P68" s="12">
        <v>270</v>
      </c>
      <c r="Q68" s="12">
        <v>335</v>
      </c>
      <c r="R68" s="12">
        <v>81</v>
      </c>
      <c r="S68" s="13">
        <v>2001</v>
      </c>
      <c r="T68" s="5">
        <f>SUM(C68:R68)</f>
        <v>5853</v>
      </c>
      <c r="U68" s="33">
        <f>T68-B68</f>
        <v>0</v>
      </c>
    </row>
    <row r="69" spans="1:21" ht="6" customHeight="1" x14ac:dyDescent="0.3">
      <c r="A69" s="11" t="s">
        <v>1</v>
      </c>
      <c r="B69" s="12" t="s">
        <v>2</v>
      </c>
      <c r="C69" s="12" t="s">
        <v>3</v>
      </c>
      <c r="D69" s="12" t="s">
        <v>3</v>
      </c>
      <c r="E69" s="12" t="s">
        <v>3</v>
      </c>
      <c r="F69" s="12" t="s">
        <v>3</v>
      </c>
      <c r="G69" s="12" t="s">
        <v>0</v>
      </c>
      <c r="H69" s="12" t="s">
        <v>0</v>
      </c>
      <c r="I69" s="12" t="s">
        <v>0</v>
      </c>
      <c r="J69" s="12" t="s">
        <v>0</v>
      </c>
      <c r="K69" s="12" t="s">
        <v>0</v>
      </c>
      <c r="L69" s="12" t="s">
        <v>0</v>
      </c>
      <c r="M69" s="12" t="s">
        <v>0</v>
      </c>
      <c r="N69" s="12" t="s">
        <v>0</v>
      </c>
      <c r="O69" s="12" t="s">
        <v>0</v>
      </c>
      <c r="P69" s="12" t="s">
        <v>0</v>
      </c>
      <c r="Q69" s="12" t="s">
        <v>0</v>
      </c>
      <c r="R69" s="12" t="s">
        <v>0</v>
      </c>
      <c r="S69" s="13"/>
      <c r="T69" s="5">
        <f>SUM(C69:R69)</f>
        <v>0</v>
      </c>
      <c r="U69" s="33" t="e">
        <f t="shared" si="1"/>
        <v>#VALUE!</v>
      </c>
    </row>
    <row r="70" spans="1:21" ht="10.5" customHeight="1" x14ac:dyDescent="0.3">
      <c r="A70" s="11">
        <v>2002</v>
      </c>
      <c r="B70" s="12">
        <f>SUM(C70:R70)</f>
        <v>5130</v>
      </c>
      <c r="C70" s="12">
        <f>[3]Sheet1!$B$30</f>
        <v>1343</v>
      </c>
      <c r="D70" s="12">
        <f>[3]Sheet1!$C$30</f>
        <v>440</v>
      </c>
      <c r="E70" s="12">
        <f>[3]Sheet1!$D$30</f>
        <v>262</v>
      </c>
      <c r="F70" s="12">
        <f>[3]Sheet1!$E$30</f>
        <v>234</v>
      </c>
      <c r="G70" s="12">
        <f>[3]Sheet1!$F$30</f>
        <v>195</v>
      </c>
      <c r="H70" s="12">
        <f>[3]Sheet1!$G$30</f>
        <v>145</v>
      </c>
      <c r="I70" s="12">
        <f>[3]Sheet1!$H$30</f>
        <v>110</v>
      </c>
      <c r="J70" s="12">
        <f>[3]Sheet1!$I$30</f>
        <v>790</v>
      </c>
      <c r="K70" s="12">
        <f>[3]Sheet1!$J$30</f>
        <v>178</v>
      </c>
      <c r="L70" s="12">
        <f>[3]Sheet1!$K$30</f>
        <v>167</v>
      </c>
      <c r="M70" s="12">
        <f>[3]Sheet1!$L$30</f>
        <v>166</v>
      </c>
      <c r="N70" s="12">
        <f>[3]Sheet1!$M$30</f>
        <v>235</v>
      </c>
      <c r="O70" s="12">
        <f>[3]Sheet1!$N$30</f>
        <v>220</v>
      </c>
      <c r="P70" s="12">
        <f>[3]Sheet1!$O$30</f>
        <v>257</v>
      </c>
      <c r="Q70" s="12">
        <f>[3]Sheet1!$P$30</f>
        <v>313</v>
      </c>
      <c r="R70" s="12">
        <f>[3]Sheet1!$Q$30</f>
        <v>75</v>
      </c>
      <c r="S70" s="13">
        <v>2002</v>
      </c>
      <c r="T70" s="5">
        <f t="shared" si="2"/>
        <v>5130</v>
      </c>
      <c r="U70" s="33">
        <f t="shared" si="1"/>
        <v>0</v>
      </c>
    </row>
    <row r="71" spans="1:21" ht="10.5" customHeight="1" x14ac:dyDescent="0.3">
      <c r="A71" s="11">
        <v>2003</v>
      </c>
      <c r="B71" s="12">
        <v>4744</v>
      </c>
      <c r="C71" s="12">
        <v>1293</v>
      </c>
      <c r="D71" s="12">
        <v>393</v>
      </c>
      <c r="E71" s="12">
        <v>248</v>
      </c>
      <c r="F71" s="12">
        <v>216</v>
      </c>
      <c r="G71" s="12">
        <v>187</v>
      </c>
      <c r="H71" s="12">
        <v>144</v>
      </c>
      <c r="I71" s="12">
        <v>106</v>
      </c>
      <c r="J71" s="12">
        <v>744</v>
      </c>
      <c r="K71" s="12">
        <v>152</v>
      </c>
      <c r="L71" s="12">
        <v>140</v>
      </c>
      <c r="M71" s="12">
        <v>149</v>
      </c>
      <c r="N71" s="12">
        <v>218</v>
      </c>
      <c r="O71" s="12">
        <v>194</v>
      </c>
      <c r="P71" s="12">
        <v>220</v>
      </c>
      <c r="Q71" s="12">
        <v>281</v>
      </c>
      <c r="R71" s="12">
        <v>67</v>
      </c>
      <c r="S71" s="13">
        <v>2003</v>
      </c>
      <c r="T71" s="5">
        <f t="shared" si="2"/>
        <v>4752</v>
      </c>
      <c r="U71" s="33">
        <f t="shared" si="1"/>
        <v>8</v>
      </c>
    </row>
    <row r="72" spans="1:21" s="42" customFormat="1" ht="10.5" customHeight="1" x14ac:dyDescent="0.3">
      <c r="A72" s="14">
        <v>2004</v>
      </c>
      <c r="B72" s="15">
        <v>4744</v>
      </c>
      <c r="C72" s="15">
        <v>1293</v>
      </c>
      <c r="D72" s="15">
        <v>393</v>
      </c>
      <c r="E72" s="15">
        <v>248</v>
      </c>
      <c r="F72" s="15">
        <v>216</v>
      </c>
      <c r="G72" s="15">
        <v>187</v>
      </c>
      <c r="H72" s="15">
        <v>144</v>
      </c>
      <c r="I72" s="15">
        <v>106</v>
      </c>
      <c r="J72" s="15">
        <v>744</v>
      </c>
      <c r="K72" s="15">
        <v>152</v>
      </c>
      <c r="L72" s="15">
        <v>140</v>
      </c>
      <c r="M72" s="15">
        <v>149</v>
      </c>
      <c r="N72" s="15">
        <v>218</v>
      </c>
      <c r="O72" s="15">
        <v>194</v>
      </c>
      <c r="P72" s="15">
        <v>220</v>
      </c>
      <c r="Q72" s="15">
        <v>277</v>
      </c>
      <c r="R72" s="15">
        <v>63</v>
      </c>
      <c r="S72" s="16">
        <v>2004</v>
      </c>
      <c r="T72" s="5">
        <f t="shared" si="2"/>
        <v>4744</v>
      </c>
      <c r="U72" s="5">
        <f t="shared" si="1"/>
        <v>0</v>
      </c>
    </row>
    <row r="73" spans="1:21" s="42" customFormat="1" ht="10.5" customHeight="1" x14ac:dyDescent="0.3">
      <c r="A73" s="14">
        <v>2005</v>
      </c>
      <c r="B73" s="15">
        <v>4390</v>
      </c>
      <c r="C73" s="15">
        <v>1221</v>
      </c>
      <c r="D73" s="15">
        <v>363</v>
      </c>
      <c r="E73" s="15">
        <v>241</v>
      </c>
      <c r="F73" s="15">
        <v>198</v>
      </c>
      <c r="G73" s="15">
        <v>174</v>
      </c>
      <c r="H73" s="15">
        <v>142</v>
      </c>
      <c r="I73" s="15">
        <v>102</v>
      </c>
      <c r="J73" s="15">
        <v>688</v>
      </c>
      <c r="K73" s="15">
        <v>133</v>
      </c>
      <c r="L73" s="15">
        <v>127</v>
      </c>
      <c r="M73" s="15">
        <v>130</v>
      </c>
      <c r="N73" s="15">
        <v>186</v>
      </c>
      <c r="O73" s="15">
        <v>169</v>
      </c>
      <c r="P73" s="15">
        <v>201</v>
      </c>
      <c r="Q73" s="15">
        <v>257</v>
      </c>
      <c r="R73" s="15">
        <v>57</v>
      </c>
      <c r="S73" s="16">
        <v>2005</v>
      </c>
      <c r="T73" s="5">
        <f>SUM(C73:R73)</f>
        <v>4389</v>
      </c>
      <c r="U73" s="5">
        <f>T73-B73</f>
        <v>-1</v>
      </c>
    </row>
    <row r="74" spans="1:21" ht="6" customHeight="1" x14ac:dyDescent="0.3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4"/>
    </row>
    <row r="75" spans="1:21" ht="15" customHeight="1" x14ac:dyDescent="0.3">
      <c r="A75" s="25" t="s">
        <v>35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6"/>
    </row>
    <row r="76" spans="1:21" ht="15" customHeight="1" x14ac:dyDescent="0.3">
      <c r="A76" s="25" t="s">
        <v>36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6"/>
    </row>
    <row r="77" spans="1:21" x14ac:dyDescent="0.3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6"/>
    </row>
    <row r="78" spans="1:21" x14ac:dyDescent="0.3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6"/>
    </row>
    <row r="79" spans="1:21" x14ac:dyDescent="0.3">
      <c r="A79" s="6" t="s">
        <v>67</v>
      </c>
      <c r="B79" s="27">
        <f>B16+B30+B44+B58+B72</f>
        <v>12003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6"/>
    </row>
    <row r="80" spans="1:21" x14ac:dyDescent="0.3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6"/>
    </row>
    <row r="81" spans="1:19" x14ac:dyDescent="0.3">
      <c r="A81" s="41" t="s">
        <v>69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6"/>
    </row>
    <row r="82" spans="1:19" s="39" customFormat="1" hidden="1" x14ac:dyDescent="0.3">
      <c r="A82" s="38">
        <v>2002</v>
      </c>
      <c r="B82" s="37">
        <v>1593</v>
      </c>
      <c r="C82" s="37">
        <v>23</v>
      </c>
      <c r="D82" s="37">
        <v>22</v>
      </c>
      <c r="E82" s="37">
        <v>23</v>
      </c>
      <c r="F82" s="37">
        <v>27</v>
      </c>
      <c r="G82" s="37">
        <v>18</v>
      </c>
      <c r="H82" s="37">
        <v>15</v>
      </c>
      <c r="I82" s="37">
        <v>19</v>
      </c>
      <c r="J82" s="37">
        <v>180</v>
      </c>
      <c r="K82" s="37">
        <v>120</v>
      </c>
      <c r="L82" s="37">
        <v>98</v>
      </c>
      <c r="M82" s="37">
        <v>188</v>
      </c>
      <c r="N82" s="37">
        <v>145</v>
      </c>
      <c r="O82" s="37">
        <v>242</v>
      </c>
      <c r="P82" s="37">
        <v>234</v>
      </c>
      <c r="Q82" s="37">
        <v>205</v>
      </c>
      <c r="R82" s="37">
        <v>34</v>
      </c>
      <c r="S82" s="40">
        <f>SUM(C82:R82)</f>
        <v>1593</v>
      </c>
    </row>
    <row r="83" spans="1:19" hidden="1" x14ac:dyDescent="0.3">
      <c r="A83" s="6" t="s">
        <v>37</v>
      </c>
      <c r="B83" s="27">
        <v>1366</v>
      </c>
      <c r="C83" s="7">
        <v>19</v>
      </c>
      <c r="D83" s="7">
        <v>14</v>
      </c>
      <c r="E83" s="7">
        <v>22</v>
      </c>
      <c r="F83" s="7">
        <v>22</v>
      </c>
      <c r="G83" s="7">
        <v>16</v>
      </c>
      <c r="H83" s="7">
        <v>14</v>
      </c>
      <c r="I83" s="7">
        <v>17</v>
      </c>
      <c r="J83" s="7">
        <v>165</v>
      </c>
      <c r="K83" s="7">
        <v>98</v>
      </c>
      <c r="L83" s="7">
        <v>88</v>
      </c>
      <c r="M83" s="7">
        <v>168</v>
      </c>
      <c r="N83" s="7">
        <v>128</v>
      </c>
      <c r="O83" s="7">
        <v>199</v>
      </c>
      <c r="P83" s="7">
        <v>203</v>
      </c>
      <c r="Q83" s="7">
        <v>168</v>
      </c>
      <c r="R83" s="7">
        <v>25</v>
      </c>
      <c r="S83" s="6"/>
    </row>
    <row r="84" spans="1:19" hidden="1" x14ac:dyDescent="0.3">
      <c r="A84" s="6" t="s">
        <v>38</v>
      </c>
      <c r="B84" s="27">
        <v>95</v>
      </c>
      <c r="C84" s="7">
        <v>3</v>
      </c>
      <c r="D84" s="7">
        <v>7</v>
      </c>
      <c r="E84" s="7">
        <v>0</v>
      </c>
      <c r="F84" s="7">
        <v>4</v>
      </c>
      <c r="G84" s="7">
        <v>1</v>
      </c>
      <c r="H84" s="7">
        <v>0</v>
      </c>
      <c r="I84" s="7">
        <v>1</v>
      </c>
      <c r="J84" s="7">
        <v>1</v>
      </c>
      <c r="K84" s="7">
        <v>9</v>
      </c>
      <c r="L84" s="7">
        <v>0</v>
      </c>
      <c r="M84" s="7">
        <v>8</v>
      </c>
      <c r="N84" s="7">
        <v>4</v>
      </c>
      <c r="O84" s="7">
        <v>22</v>
      </c>
      <c r="P84" s="7">
        <v>9</v>
      </c>
      <c r="Q84" s="7">
        <v>19</v>
      </c>
      <c r="R84" s="7">
        <v>7</v>
      </c>
      <c r="S84" s="6"/>
    </row>
    <row r="85" spans="1:19" hidden="1" x14ac:dyDescent="0.3">
      <c r="A85" s="6" t="s">
        <v>28</v>
      </c>
      <c r="B85" s="27">
        <v>132</v>
      </c>
      <c r="C85" s="7">
        <v>1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14</v>
      </c>
      <c r="K85" s="7">
        <v>13</v>
      </c>
      <c r="L85" s="7">
        <v>10</v>
      </c>
      <c r="M85" s="7">
        <v>12</v>
      </c>
      <c r="N85" s="7">
        <v>13</v>
      </c>
      <c r="O85" s="7">
        <v>21</v>
      </c>
      <c r="P85" s="7">
        <v>22</v>
      </c>
      <c r="Q85" s="7">
        <v>18</v>
      </c>
      <c r="R85" s="7">
        <v>2</v>
      </c>
      <c r="S85" s="6"/>
    </row>
    <row r="86" spans="1:19" hidden="1" x14ac:dyDescent="0.3">
      <c r="A86" s="36">
        <v>2004</v>
      </c>
      <c r="B86" s="37">
        <f>SUM(B87:B89)</f>
        <v>1551</v>
      </c>
      <c r="C86" s="37">
        <f t="shared" ref="C86:R86" si="3">SUM(C87:C89)</f>
        <v>23</v>
      </c>
      <c r="D86" s="37">
        <f t="shared" si="3"/>
        <v>24</v>
      </c>
      <c r="E86" s="37">
        <f t="shared" si="3"/>
        <v>26</v>
      </c>
      <c r="F86" s="37">
        <f t="shared" si="3"/>
        <v>27</v>
      </c>
      <c r="G86" s="37">
        <f t="shared" si="3"/>
        <v>18</v>
      </c>
      <c r="H86" s="37">
        <f t="shared" si="3"/>
        <v>16</v>
      </c>
      <c r="I86" s="37">
        <f t="shared" si="3"/>
        <v>19</v>
      </c>
      <c r="J86" s="37">
        <f t="shared" si="3"/>
        <v>179</v>
      </c>
      <c r="K86" s="37">
        <f t="shared" si="3"/>
        <v>112</v>
      </c>
      <c r="L86" s="37">
        <f t="shared" si="3"/>
        <v>94</v>
      </c>
      <c r="M86" s="37">
        <f t="shared" si="3"/>
        <v>186</v>
      </c>
      <c r="N86" s="37">
        <f t="shared" si="3"/>
        <v>135</v>
      </c>
      <c r="O86" s="37">
        <f t="shared" si="3"/>
        <v>236</v>
      </c>
      <c r="P86" s="37">
        <f t="shared" si="3"/>
        <v>224</v>
      </c>
      <c r="Q86" s="37">
        <f t="shared" si="3"/>
        <v>199</v>
      </c>
      <c r="R86" s="37">
        <f t="shared" si="3"/>
        <v>33</v>
      </c>
      <c r="S86" s="36">
        <f>SUM(C86:R86)</f>
        <v>1551</v>
      </c>
    </row>
    <row r="87" spans="1:19" hidden="1" x14ac:dyDescent="0.3">
      <c r="A87" s="6" t="s">
        <v>37</v>
      </c>
      <c r="B87" s="27">
        <f>SUM(C87:R87)</f>
        <v>1327</v>
      </c>
      <c r="C87" s="7">
        <v>19</v>
      </c>
      <c r="D87" s="7">
        <v>16</v>
      </c>
      <c r="E87" s="7">
        <v>24</v>
      </c>
      <c r="F87" s="7">
        <v>21</v>
      </c>
      <c r="G87" s="7">
        <v>16</v>
      </c>
      <c r="H87" s="7">
        <v>15</v>
      </c>
      <c r="I87" s="7">
        <v>17</v>
      </c>
      <c r="J87" s="7">
        <v>165</v>
      </c>
      <c r="K87" s="7">
        <v>90</v>
      </c>
      <c r="L87" s="7">
        <v>84</v>
      </c>
      <c r="M87" s="7">
        <v>166</v>
      </c>
      <c r="N87" s="7">
        <v>118</v>
      </c>
      <c r="O87" s="7">
        <v>195</v>
      </c>
      <c r="P87" s="7">
        <v>194</v>
      </c>
      <c r="Q87" s="7">
        <v>163</v>
      </c>
      <c r="R87" s="7">
        <v>24</v>
      </c>
      <c r="S87" s="6"/>
    </row>
    <row r="88" spans="1:19" hidden="1" x14ac:dyDescent="0.3">
      <c r="A88" s="6" t="s">
        <v>38</v>
      </c>
      <c r="B88" s="27">
        <f>SUM(C88:R88)</f>
        <v>92</v>
      </c>
      <c r="C88" s="7">
        <v>3</v>
      </c>
      <c r="D88" s="7">
        <v>7</v>
      </c>
      <c r="E88" s="7">
        <v>0</v>
      </c>
      <c r="F88" s="7">
        <v>4</v>
      </c>
      <c r="G88" s="7">
        <v>1</v>
      </c>
      <c r="H88" s="7">
        <v>0</v>
      </c>
      <c r="I88" s="7">
        <v>1</v>
      </c>
      <c r="J88" s="7">
        <v>1</v>
      </c>
      <c r="K88" s="7">
        <v>9</v>
      </c>
      <c r="L88" s="7">
        <v>0</v>
      </c>
      <c r="M88" s="7">
        <v>8</v>
      </c>
      <c r="N88" s="7">
        <v>4</v>
      </c>
      <c r="O88" s="7">
        <v>20</v>
      </c>
      <c r="P88" s="7">
        <v>9</v>
      </c>
      <c r="Q88" s="7">
        <v>18</v>
      </c>
      <c r="R88" s="7">
        <v>7</v>
      </c>
      <c r="S88" s="6"/>
    </row>
    <row r="89" spans="1:19" hidden="1" x14ac:dyDescent="0.3">
      <c r="A89" s="6" t="s">
        <v>28</v>
      </c>
      <c r="B89" s="27">
        <f>SUM(C89:R89)</f>
        <v>132</v>
      </c>
      <c r="C89" s="7">
        <v>1</v>
      </c>
      <c r="D89" s="7">
        <v>1</v>
      </c>
      <c r="E89" s="7">
        <v>2</v>
      </c>
      <c r="F89" s="7">
        <v>2</v>
      </c>
      <c r="G89" s="7">
        <v>1</v>
      </c>
      <c r="H89" s="7">
        <v>1</v>
      </c>
      <c r="I89" s="7">
        <v>1</v>
      </c>
      <c r="J89" s="7">
        <v>13</v>
      </c>
      <c r="K89" s="7">
        <v>13</v>
      </c>
      <c r="L89" s="7">
        <v>10</v>
      </c>
      <c r="M89" s="7">
        <v>12</v>
      </c>
      <c r="N89" s="7">
        <v>13</v>
      </c>
      <c r="O89" s="7">
        <v>21</v>
      </c>
      <c r="P89" s="7">
        <v>21</v>
      </c>
      <c r="Q89" s="7">
        <v>18</v>
      </c>
      <c r="R89" s="7">
        <v>2</v>
      </c>
      <c r="S89" s="6"/>
    </row>
    <row r="90" spans="1:19" x14ac:dyDescent="0.3">
      <c r="A90" s="36">
        <v>2005</v>
      </c>
      <c r="B90" s="37">
        <f>SUM(B91:B93)</f>
        <v>1522</v>
      </c>
      <c r="C90" s="37">
        <f t="shared" ref="C90:R90" si="4">SUM(C91:C93)</f>
        <v>23</v>
      </c>
      <c r="D90" s="37">
        <f t="shared" si="4"/>
        <v>24</v>
      </c>
      <c r="E90" s="37">
        <f t="shared" si="4"/>
        <v>26</v>
      </c>
      <c r="F90" s="37">
        <f t="shared" si="4"/>
        <v>27</v>
      </c>
      <c r="G90" s="37">
        <f t="shared" si="4"/>
        <v>18</v>
      </c>
      <c r="H90" s="37">
        <f t="shared" si="4"/>
        <v>16</v>
      </c>
      <c r="I90" s="37">
        <f t="shared" si="4"/>
        <v>19</v>
      </c>
      <c r="J90" s="37">
        <f t="shared" si="4"/>
        <v>179</v>
      </c>
      <c r="K90" s="37">
        <f t="shared" si="4"/>
        <v>110</v>
      </c>
      <c r="L90" s="37">
        <f t="shared" si="4"/>
        <v>91</v>
      </c>
      <c r="M90" s="37">
        <f t="shared" si="4"/>
        <v>184</v>
      </c>
      <c r="N90" s="37">
        <f t="shared" si="4"/>
        <v>132</v>
      </c>
      <c r="O90" s="37">
        <f t="shared" si="4"/>
        <v>223</v>
      </c>
      <c r="P90" s="37">
        <f t="shared" si="4"/>
        <v>222</v>
      </c>
      <c r="Q90" s="37">
        <f t="shared" si="4"/>
        <v>195</v>
      </c>
      <c r="R90" s="37">
        <f t="shared" si="4"/>
        <v>33</v>
      </c>
      <c r="S90" s="40">
        <f>SUM(C90:R90)</f>
        <v>1522</v>
      </c>
    </row>
    <row r="91" spans="1:19" x14ac:dyDescent="0.3">
      <c r="A91" s="6" t="s">
        <v>37</v>
      </c>
      <c r="B91" s="27">
        <f>SUM(C91:R91)</f>
        <v>1298</v>
      </c>
      <c r="C91" s="7">
        <v>19</v>
      </c>
      <c r="D91" s="7">
        <v>16</v>
      </c>
      <c r="E91" s="7">
        <v>24</v>
      </c>
      <c r="F91" s="7">
        <v>21</v>
      </c>
      <c r="G91" s="7">
        <v>16</v>
      </c>
      <c r="H91" s="7">
        <v>15</v>
      </c>
      <c r="I91" s="7">
        <v>17</v>
      </c>
      <c r="J91" s="7">
        <v>165</v>
      </c>
      <c r="K91" s="7">
        <v>88</v>
      </c>
      <c r="L91" s="7">
        <v>81</v>
      </c>
      <c r="M91" s="7">
        <v>164</v>
      </c>
      <c r="N91" s="7">
        <v>115</v>
      </c>
      <c r="O91" s="7">
        <v>182</v>
      </c>
      <c r="P91" s="7">
        <v>192</v>
      </c>
      <c r="Q91" s="7">
        <v>159</v>
      </c>
      <c r="R91" s="7">
        <v>24</v>
      </c>
      <c r="S91" s="6"/>
    </row>
    <row r="92" spans="1:19" x14ac:dyDescent="0.3">
      <c r="A92" s="6" t="s">
        <v>38</v>
      </c>
      <c r="B92" s="27">
        <f>SUM(C92:R92)</f>
        <v>92</v>
      </c>
      <c r="C92" s="7">
        <v>3</v>
      </c>
      <c r="D92" s="7">
        <v>7</v>
      </c>
      <c r="E92" s="7">
        <v>0</v>
      </c>
      <c r="F92" s="7">
        <v>4</v>
      </c>
      <c r="G92" s="7">
        <v>1</v>
      </c>
      <c r="H92" s="7">
        <v>0</v>
      </c>
      <c r="I92" s="7">
        <v>1</v>
      </c>
      <c r="J92" s="7">
        <v>1</v>
      </c>
      <c r="K92" s="7">
        <v>9</v>
      </c>
      <c r="L92" s="7">
        <v>0</v>
      </c>
      <c r="M92" s="7">
        <v>8</v>
      </c>
      <c r="N92" s="7">
        <v>4</v>
      </c>
      <c r="O92" s="7">
        <v>20</v>
      </c>
      <c r="P92" s="7">
        <v>9</v>
      </c>
      <c r="Q92" s="7">
        <v>18</v>
      </c>
      <c r="R92" s="7">
        <v>7</v>
      </c>
      <c r="S92" s="6"/>
    </row>
    <row r="93" spans="1:19" x14ac:dyDescent="0.3">
      <c r="A93" s="6" t="s">
        <v>28</v>
      </c>
      <c r="B93" s="27">
        <f>SUM(C93:R93)</f>
        <v>132</v>
      </c>
      <c r="C93" s="7">
        <v>1</v>
      </c>
      <c r="D93" s="7">
        <v>1</v>
      </c>
      <c r="E93" s="7">
        <v>2</v>
      </c>
      <c r="F93" s="7">
        <v>2</v>
      </c>
      <c r="G93" s="7">
        <v>1</v>
      </c>
      <c r="H93" s="7">
        <v>1</v>
      </c>
      <c r="I93" s="7">
        <v>1</v>
      </c>
      <c r="J93" s="7">
        <v>13</v>
      </c>
      <c r="K93" s="7">
        <v>13</v>
      </c>
      <c r="L93" s="7">
        <v>10</v>
      </c>
      <c r="M93" s="7">
        <v>12</v>
      </c>
      <c r="N93" s="7">
        <v>13</v>
      </c>
      <c r="O93" s="7">
        <v>21</v>
      </c>
      <c r="P93" s="7">
        <v>21</v>
      </c>
      <c r="Q93" s="7">
        <v>18</v>
      </c>
      <c r="R93" s="7">
        <v>2</v>
      </c>
      <c r="S93" s="6"/>
    </row>
  </sheetData>
  <mergeCells count="11">
    <mergeCell ref="A1:S1"/>
    <mergeCell ref="A4:I4"/>
    <mergeCell ref="J4:S4"/>
    <mergeCell ref="A18:I18"/>
    <mergeCell ref="J18:S18"/>
    <mergeCell ref="A32:I32"/>
    <mergeCell ref="A60:I60"/>
    <mergeCell ref="J60:S60"/>
    <mergeCell ref="A46:I46"/>
    <mergeCell ref="J46:S46"/>
    <mergeCell ref="J32:S3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9</vt:i4>
      </vt:variant>
    </vt:vector>
  </HeadingPairs>
  <TitlesOfParts>
    <vt:vector size="17" baseType="lpstr">
      <vt:lpstr>1. 예금은행</vt:lpstr>
      <vt:lpstr>2. 비은행예취</vt:lpstr>
      <vt:lpstr>13.점포(I 2007)</vt:lpstr>
      <vt:lpstr>13.점포(II 2007)</vt:lpstr>
      <vt:lpstr>13.점포(I 2006)</vt:lpstr>
      <vt:lpstr>13.점포(II 2006)</vt:lpstr>
      <vt:lpstr>13.점포(I 2005)</vt:lpstr>
      <vt:lpstr>13.점포(II 2005)</vt:lpstr>
      <vt:lpstr>'1. 예금은행'!Print_Area</vt:lpstr>
      <vt:lpstr>'13.점포(I 2005)'!Print_Area</vt:lpstr>
      <vt:lpstr>'13.점포(I 2006)'!Print_Area</vt:lpstr>
      <vt:lpstr>'13.점포(I 2007)'!Print_Area</vt:lpstr>
      <vt:lpstr>'13.점포(II 2005)'!Print_Area</vt:lpstr>
      <vt:lpstr>'13.점포(II 2006)'!Print_Area</vt:lpstr>
      <vt:lpstr>'13.점포(II 2007)'!Print_Area</vt:lpstr>
      <vt:lpstr>'2. 비은행예취'!Print_Area</vt:lpstr>
      <vt:lpstr>'2. 비은행예취'!Print_Titles</vt:lpstr>
    </vt:vector>
  </TitlesOfParts>
  <Company>한국은행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이해인</cp:lastModifiedBy>
  <cp:lastPrinted>2021-03-16T02:20:44Z</cp:lastPrinted>
  <dcterms:created xsi:type="dcterms:W3CDTF">2002-02-14T07:14:21Z</dcterms:created>
  <dcterms:modified xsi:type="dcterms:W3CDTF">2025-04-08T05:48:23Z</dcterms:modified>
</cp:coreProperties>
</file>